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gouie\Videos\k\st\se\"/>
    </mc:Choice>
  </mc:AlternateContent>
  <xr:revisionPtr revIDLastSave="0" documentId="13_ncr:1_{BBD1EB64-1FC8-474F-A325-4E3DCC5BD6DF}" xr6:coauthVersionLast="47" xr6:coauthVersionMax="47" xr10:uidLastSave="{00000000-0000-0000-0000-000000000000}"/>
  <bookViews>
    <workbookView xWindow="-165" yWindow="-165" windowWidth="29130" windowHeight="15810" firstSheet="3" activeTab="4" xr2:uid="{C5111B3E-7A77-4F7B-AE35-C0A135B9E2F4}"/>
  </bookViews>
  <sheets>
    <sheet name="ThermoProperties MEA" sheetId="4" state="hidden" r:id="rId1"/>
    <sheet name="Thermophysical EMEA" sheetId="3" state="hidden" r:id="rId2"/>
    <sheet name="ThermoProperties EMEA 1" sheetId="2" state="hidden" r:id="rId3"/>
    <sheet name="MEA " sheetId="6" r:id="rId4"/>
    <sheet name="EMEA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3" l="1"/>
  <c r="U18" i="3"/>
  <c r="U19" i="3"/>
  <c r="U20" i="3"/>
  <c r="U21" i="3"/>
  <c r="U22" i="3"/>
  <c r="U23" i="3"/>
  <c r="U24" i="3"/>
  <c r="U25" i="3"/>
  <c r="U26" i="3"/>
  <c r="O17" i="3"/>
  <c r="R17" i="3"/>
  <c r="O18" i="3"/>
  <c r="R18" i="3"/>
  <c r="O19" i="3"/>
  <c r="R19" i="3"/>
  <c r="O20" i="3"/>
  <c r="R20" i="3"/>
  <c r="O21" i="3"/>
  <c r="R21" i="3"/>
  <c r="O22" i="3"/>
  <c r="R22" i="3"/>
  <c r="O23" i="3"/>
  <c r="R23" i="3"/>
  <c r="O24" i="3"/>
  <c r="R24" i="3"/>
  <c r="O25" i="3"/>
  <c r="R25" i="3"/>
  <c r="O26" i="3"/>
  <c r="R26" i="3"/>
  <c r="K11" i="4"/>
  <c r="K10" i="4"/>
  <c r="K9" i="4"/>
  <c r="AF26" i="3" l="1"/>
  <c r="AC26" i="3"/>
  <c r="Z26" i="3"/>
  <c r="J26" i="3"/>
  <c r="G26" i="3"/>
  <c r="D26" i="3"/>
  <c r="AF25" i="3"/>
  <c r="AC25" i="3"/>
  <c r="Z25" i="3"/>
  <c r="J25" i="3"/>
  <c r="G25" i="3"/>
  <c r="D25" i="3"/>
  <c r="AF24" i="3"/>
  <c r="AC24" i="3"/>
  <c r="Z24" i="3"/>
  <c r="J24" i="3"/>
  <c r="G24" i="3"/>
  <c r="D24" i="3"/>
  <c r="AF23" i="3"/>
  <c r="AC23" i="3"/>
  <c r="Z23" i="3"/>
  <c r="J23" i="3"/>
  <c r="G23" i="3"/>
  <c r="D23" i="3"/>
  <c r="AF22" i="3"/>
  <c r="AC22" i="3"/>
  <c r="Z22" i="3"/>
  <c r="J22" i="3"/>
  <c r="G22" i="3"/>
  <c r="D22" i="3"/>
  <c r="AF21" i="3"/>
  <c r="AC21" i="3"/>
  <c r="Z21" i="3"/>
  <c r="J21" i="3"/>
  <c r="G21" i="3"/>
  <c r="D21" i="3"/>
  <c r="AF20" i="3"/>
  <c r="AC20" i="3"/>
  <c r="Z20" i="3"/>
  <c r="J20" i="3"/>
  <c r="G20" i="3"/>
  <c r="D20" i="3"/>
  <c r="AF19" i="3"/>
  <c r="AC19" i="3"/>
  <c r="Z19" i="3"/>
  <c r="J19" i="3"/>
  <c r="G19" i="3"/>
  <c r="D19" i="3"/>
  <c r="AF18" i="3"/>
  <c r="AC18" i="3"/>
  <c r="Z18" i="3"/>
  <c r="J18" i="3"/>
  <c r="G18" i="3"/>
  <c r="D18" i="3"/>
  <c r="AF17" i="3"/>
  <c r="AC17" i="3"/>
  <c r="Z17" i="3"/>
  <c r="J17" i="3"/>
  <c r="G17" i="3"/>
  <c r="D17" i="3"/>
  <c r="AF12" i="3"/>
  <c r="AC12" i="3"/>
  <c r="Z12" i="3"/>
  <c r="U12" i="3"/>
  <c r="R12" i="3"/>
  <c r="O12" i="3"/>
  <c r="J12" i="3"/>
  <c r="G12" i="3"/>
  <c r="D12" i="3"/>
  <c r="AF11" i="3"/>
  <c r="AC11" i="3"/>
  <c r="Z11" i="3"/>
  <c r="U11" i="3"/>
  <c r="R11" i="3"/>
  <c r="O11" i="3"/>
  <c r="J11" i="3"/>
  <c r="G11" i="3"/>
  <c r="D11" i="3"/>
  <c r="AF10" i="3"/>
  <c r="AC10" i="3"/>
  <c r="Z10" i="3"/>
  <c r="U10" i="3"/>
  <c r="R10" i="3"/>
  <c r="O10" i="3"/>
  <c r="J10" i="3"/>
  <c r="G10" i="3"/>
  <c r="D10" i="3"/>
  <c r="AF9" i="3"/>
  <c r="AC9" i="3"/>
  <c r="Z9" i="3"/>
  <c r="U9" i="3"/>
  <c r="R9" i="3"/>
  <c r="O9" i="3"/>
  <c r="J9" i="3"/>
  <c r="G9" i="3"/>
  <c r="D9" i="3"/>
  <c r="AF8" i="3"/>
  <c r="AC8" i="3"/>
  <c r="Z8" i="3"/>
  <c r="U8" i="3"/>
  <c r="R8" i="3"/>
  <c r="O8" i="3"/>
  <c r="J8" i="3"/>
  <c r="G8" i="3"/>
  <c r="D8" i="3"/>
  <c r="AF7" i="3"/>
  <c r="AC7" i="3"/>
  <c r="Z7" i="3"/>
  <c r="U7" i="3"/>
  <c r="R7" i="3"/>
  <c r="O7" i="3"/>
  <c r="J7" i="3"/>
  <c r="G7" i="3"/>
  <c r="D7" i="3"/>
  <c r="AF6" i="3"/>
  <c r="AC6" i="3"/>
  <c r="Z6" i="3"/>
  <c r="U6" i="3"/>
  <c r="R6" i="3"/>
  <c r="O6" i="3"/>
  <c r="J6" i="3"/>
  <c r="G6" i="3"/>
  <c r="D6" i="3"/>
  <c r="AF5" i="3"/>
  <c r="AC5" i="3"/>
  <c r="Z5" i="3"/>
  <c r="U5" i="3"/>
  <c r="R5" i="3"/>
  <c r="O5" i="3"/>
  <c r="J5" i="3"/>
  <c r="G5" i="3"/>
  <c r="D5" i="3"/>
  <c r="AF4" i="3"/>
  <c r="AC4" i="3"/>
  <c r="Z4" i="3"/>
  <c r="U4" i="3"/>
  <c r="R4" i="3"/>
  <c r="O4" i="3"/>
  <c r="J4" i="3"/>
  <c r="G4" i="3"/>
  <c r="D4" i="3"/>
  <c r="AF3" i="3"/>
  <c r="AC3" i="3"/>
  <c r="Z3" i="3"/>
  <c r="U3" i="3"/>
  <c r="R3" i="3"/>
  <c r="O3" i="3"/>
  <c r="J3" i="3"/>
  <c r="G3" i="3"/>
  <c r="D3" i="3"/>
</calcChain>
</file>

<file path=xl/sharedStrings.xml><?xml version="1.0" encoding="utf-8"?>
<sst xmlns="http://schemas.openxmlformats.org/spreadsheetml/2006/main" count="290" uniqueCount="97">
  <si>
    <t>Density</t>
  </si>
  <si>
    <t>Temp</t>
  </si>
  <si>
    <t>Fresh 2M EMEA Solvent g/cm3</t>
  </si>
  <si>
    <t>Loaded 2M EMEA Solvent g/cm3</t>
  </si>
  <si>
    <t>Lean 2M EMEA Solvent g/cm3</t>
  </si>
  <si>
    <t>Fresh 3M EMEA  Solvent g/cm3</t>
  </si>
  <si>
    <t>Loaded 3M EMEA Solvent g/cm3</t>
  </si>
  <si>
    <t>Lean 3M EMEA Solvent g/cm3</t>
  </si>
  <si>
    <t>Fresh 5M EMEA  Solvent g/cm3</t>
  </si>
  <si>
    <t>Loaded 5M EMEA Solvent g/cm3</t>
  </si>
  <si>
    <t>Lean 5M EMEA  Solvent g/cm3</t>
  </si>
  <si>
    <t>Viscosity</t>
  </si>
  <si>
    <t>Fresh 2M EMEA Solvent mPas</t>
  </si>
  <si>
    <t>Loaded 2M EMEA Solvent mPas</t>
  </si>
  <si>
    <t>Lean 2M EMEA Solvent mPas</t>
  </si>
  <si>
    <t>Fresh 3M EMEA Solvent mPas</t>
  </si>
  <si>
    <t>Loaded 3M EMEA Solvent mPas</t>
  </si>
  <si>
    <t>Lean 3M EMEA Solvent mPas</t>
  </si>
  <si>
    <t>Fresh 5M EMEA Solvent mPas</t>
  </si>
  <si>
    <t>Loaded 5M EMEA Solvent mPas</t>
  </si>
  <si>
    <t>Lean 5M EMEA Solvent mPas</t>
  </si>
  <si>
    <t>Thermal Conductivity</t>
  </si>
  <si>
    <t>Fresh 2M EMEA</t>
  </si>
  <si>
    <t>Avg</t>
  </si>
  <si>
    <t>Loaded 2M EMEA</t>
  </si>
  <si>
    <t>Lean 2M EMEA</t>
  </si>
  <si>
    <t>Fresh 3M EMEA</t>
  </si>
  <si>
    <t>Loaded 3M EMEA</t>
  </si>
  <si>
    <t>Lean 3M EMEA</t>
  </si>
  <si>
    <t>Fresh 5M EMEA</t>
  </si>
  <si>
    <t>Loaded 5M EMEA</t>
  </si>
  <si>
    <t>Lean 5M EMEA</t>
  </si>
  <si>
    <t>Specific Heat Capacity</t>
  </si>
  <si>
    <t>EMEA Fresh</t>
  </si>
  <si>
    <t>EMEA Loaded</t>
  </si>
  <si>
    <t>EMEA Lean</t>
  </si>
  <si>
    <t>2M</t>
  </si>
  <si>
    <t>3M</t>
  </si>
  <si>
    <t>5M</t>
  </si>
  <si>
    <t>CO2 Loading</t>
  </si>
  <si>
    <t>Fresh 5M MEA Solvent g/cm3</t>
  </si>
  <si>
    <t>Loaded 5M MEA Solvent g/cm3</t>
  </si>
  <si>
    <t>Lean 5M MEA Solvent g/cm3</t>
  </si>
  <si>
    <t>Fresh 3M MEA Solvent g/cm3</t>
  </si>
  <si>
    <t>Loaded 3M MEA Solvent g/cm3</t>
  </si>
  <si>
    <t>Lean 3M MEA Solvent g/cm3</t>
  </si>
  <si>
    <t>Fresh 1M MEA Solvent g/cm3</t>
  </si>
  <si>
    <t>Loaded 1M MEA Solvent g/cm3</t>
  </si>
  <si>
    <t>Lean 1M MEA Solvent g/cm3</t>
  </si>
  <si>
    <t>Fresh 5M MEA Solvent mPas</t>
  </si>
  <si>
    <t>Loaded 5M MEA Solvent mPas</t>
  </si>
  <si>
    <t>Lean 5M MEA Solvent mPas</t>
  </si>
  <si>
    <t>Fresh 3M MEA Solvent mPas</t>
  </si>
  <si>
    <t>Loaded 3M MEA Solvent mPas</t>
  </si>
  <si>
    <t>Lean 3M MEA Solvent mPas</t>
  </si>
  <si>
    <t>Fresh 1M MEA Solvent mPas</t>
  </si>
  <si>
    <t>Loaded 1M MEA Solvent mPas</t>
  </si>
  <si>
    <t>Lean 1M MEA Solvent mPas</t>
  </si>
  <si>
    <t>Fresh 5M MEA Solvent Mw/(m*K)</t>
  </si>
  <si>
    <t>Loaded 5M MEA Solvent Mw/(m*K)</t>
  </si>
  <si>
    <t>Lean 5M MEA Solvent Mw/(m*K)</t>
  </si>
  <si>
    <t>Fresh 3M MEA Solvent Mw/(m*K)</t>
  </si>
  <si>
    <t>Loaded 3M MEA Solvent Mw/(m*K)</t>
  </si>
  <si>
    <t>Lean 3M MEA Solvent Mw/(m*K)</t>
  </si>
  <si>
    <t>Fresh 1M MEA Solvent Mw/(m*K)</t>
  </si>
  <si>
    <t>Loaded 1M MEA Solvent Mw/(m*K)</t>
  </si>
  <si>
    <t>Lean 1M MEA Solvent Mw/(m*K)</t>
  </si>
  <si>
    <t>Specific heat Capacity</t>
  </si>
  <si>
    <t>Fresh 5M MEA Solvent J/Gk</t>
  </si>
  <si>
    <t>Loaded 5M MEA Solvent J/Gk</t>
  </si>
  <si>
    <t>Lean 5M MEA Solvent J/Gk</t>
  </si>
  <si>
    <t>Fresh 3M MEA Solvent J/Gk</t>
  </si>
  <si>
    <t>Loaded 3M MEA Solvent J/Gk</t>
  </si>
  <si>
    <t>Lean 3M MEA Solvent J/Gk</t>
  </si>
  <si>
    <t>Fresh 1M MEA Solvent J/Gk</t>
  </si>
  <si>
    <t>Loaded 1M MEA Solvent J/Gk</t>
  </si>
  <si>
    <t>Lean 1M MEA Solvent J/Gk</t>
  </si>
  <si>
    <t>Conc.</t>
  </si>
  <si>
    <t>1M</t>
  </si>
  <si>
    <t>Fresh MEA</t>
  </si>
  <si>
    <t>Loaded MEA</t>
  </si>
  <si>
    <t>Lean MEA</t>
  </si>
  <si>
    <t>C02 Loading</t>
  </si>
  <si>
    <t>Solvent conc.</t>
  </si>
  <si>
    <t>3M MEA</t>
  </si>
  <si>
    <t>1M MEA</t>
  </si>
  <si>
    <t>Solvent Conc.</t>
  </si>
  <si>
    <t xml:space="preserve">Solvent Conc. </t>
  </si>
  <si>
    <t>5M EMEA</t>
  </si>
  <si>
    <t>3M EMEA</t>
  </si>
  <si>
    <t>2M EMEA</t>
  </si>
  <si>
    <t>2 EMEA</t>
  </si>
  <si>
    <t>Solvent Conc.
EMEA [M]</t>
  </si>
  <si>
    <t>col1</t>
  </si>
  <si>
    <t>col2</t>
  </si>
  <si>
    <t>col3</t>
  </si>
  <si>
    <t>col4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</si>
</sst>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2" fontId="0" fillId="0" borderId="0" xfId="0" applyNumberFormat="1"/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9" fontId="0" fillId="0" borderId="0" xfId="1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0" fillId="0" borderId="3" xfId="0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Viscosity Profile -  MEA Fresh Solvent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MEA'!$B$8</c:f>
              <c:strCache>
                <c:ptCount val="1"/>
                <c:pt idx="0">
                  <c:v>Fresh 5M MEA Solvent mPas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MEA'!$A$9:$A$11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MEA'!$B$9:$B$11</c:f>
              <c:numCache>
                <c:formatCode>0.00</c:formatCode>
                <c:ptCount val="3"/>
                <c:pt idx="0">
                  <c:v>2.173</c:v>
                </c:pt>
                <c:pt idx="1">
                  <c:v>1.8680000000000001</c:v>
                </c:pt>
                <c:pt idx="2">
                  <c:v>1.625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66-4466-8480-7A94C1F0D773}"/>
            </c:ext>
          </c:extLst>
        </c:ser>
        <c:ser>
          <c:idx val="1"/>
          <c:order val="1"/>
          <c:tx>
            <c:strRef>
              <c:f>'ThermoProperties MEA'!$T$8</c:f>
              <c:strCache>
                <c:ptCount val="1"/>
                <c:pt idx="0">
                  <c:v>Fresh 1M MEA Solvent mPas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MEA'!$S$9:$S$11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MEA'!$T$9:$T$11</c:f>
              <c:numCache>
                <c:formatCode>General</c:formatCode>
                <c:ptCount val="3"/>
                <c:pt idx="0">
                  <c:v>0.79600000000000004</c:v>
                </c:pt>
                <c:pt idx="1">
                  <c:v>0.70899999999999996</c:v>
                </c:pt>
                <c:pt idx="2">
                  <c:v>0.63800000000000001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66-4466-8480-7A94C1F0D773}"/>
            </c:ext>
          </c:extLst>
        </c:ser>
        <c:ser>
          <c:idx val="2"/>
          <c:order val="2"/>
          <c:tx>
            <c:strRef>
              <c:f>'ThermoProperties MEA'!$O$8</c:f>
              <c:strCache>
                <c:ptCount val="1"/>
                <c:pt idx="0">
                  <c:v>Fresh 3M MEA Solvent mPas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MEA'!$N$9:$N$11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MEA'!$O$9:$O$11</c:f>
              <c:numCache>
                <c:formatCode>General</c:formatCode>
                <c:ptCount val="3"/>
                <c:pt idx="0">
                  <c:v>1.3919999999999999</c:v>
                </c:pt>
                <c:pt idx="1">
                  <c:v>1.218</c:v>
                </c:pt>
                <c:pt idx="2">
                  <c:v>1.0780000000000001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66-4466-8480-7A94C1F0D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675151"/>
        <c:axId val="2110671407"/>
      </c:scatterChart>
      <c:valAx>
        <c:axId val="2110675151"/>
        <c:scaling>
          <c:orientation val="minMax"/>
          <c:max val="40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Temperature</a:t>
                </a:r>
                <a:r>
                  <a:rPr lang="en-US" baseline="0"/>
                  <a:t> 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71407"/>
        <c:crosses val="autoZero"/>
        <c:crossBetween val="midCat"/>
        <c:majorUnit val="5"/>
      </c:valAx>
      <c:valAx>
        <c:axId val="2110671407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Viscosity,</a:t>
                </a:r>
                <a:r>
                  <a:rPr lang="en-US" baseline="0"/>
                  <a:t> mPas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75151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Thermal</a:t>
            </a:r>
            <a:r>
              <a:rPr lang="en-US" baseline="0"/>
              <a:t> Conductivity Profile - Fresh MEA Solvent</a:t>
            </a:r>
            <a:endParaRPr lang="en-US"/>
          </a:p>
        </c:rich>
      </c:tx>
      <c:layout>
        <c:manualLayout>
          <c:xMode val="edge"/>
          <c:yMode val="edge"/>
          <c:x val="0.170232634685917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MEA'!$B$14</c:f>
              <c:strCache>
                <c:ptCount val="1"/>
                <c:pt idx="0">
                  <c:v>Fresh 5M MEA Solvent Mw/(m*K)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MEA'!$A$15:$A$23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MEA'!$B$15:$B$23</c:f>
              <c:numCache>
                <c:formatCode>General</c:formatCode>
                <c:ptCount val="9"/>
                <c:pt idx="0">
                  <c:v>462.9</c:v>
                </c:pt>
                <c:pt idx="1">
                  <c:v>466.8</c:v>
                </c:pt>
                <c:pt idx="2">
                  <c:v>471.1</c:v>
                </c:pt>
                <c:pt idx="3">
                  <c:v>474.7</c:v>
                </c:pt>
                <c:pt idx="4">
                  <c:v>478</c:v>
                </c:pt>
                <c:pt idx="5">
                  <c:v>477</c:v>
                </c:pt>
                <c:pt idx="6">
                  <c:v>477.7</c:v>
                </c:pt>
                <c:pt idx="7">
                  <c:v>475.6</c:v>
                </c:pt>
                <c:pt idx="8">
                  <c:v>472.8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3-413B-8EC1-BCFFC92C99FF}"/>
            </c:ext>
          </c:extLst>
        </c:ser>
        <c:ser>
          <c:idx val="1"/>
          <c:order val="1"/>
          <c:tx>
            <c:strRef>
              <c:f>'ThermoProperties MEA'!$T$14</c:f>
              <c:strCache>
                <c:ptCount val="1"/>
                <c:pt idx="0">
                  <c:v>Fresh 1M MEA Solvent Mw/(m*K)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MEA'!$S$15:$S$23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MEA'!$T$15:$T$23</c:f>
              <c:numCache>
                <c:formatCode>General</c:formatCode>
                <c:ptCount val="9"/>
                <c:pt idx="0">
                  <c:v>572.79999999999995</c:v>
                </c:pt>
                <c:pt idx="1">
                  <c:v>577.79</c:v>
                </c:pt>
                <c:pt idx="2">
                  <c:v>585.07000000000005</c:v>
                </c:pt>
                <c:pt idx="3">
                  <c:v>589.51</c:v>
                </c:pt>
                <c:pt idx="4">
                  <c:v>595.16999999999996</c:v>
                </c:pt>
                <c:pt idx="5">
                  <c:v>600.39</c:v>
                </c:pt>
                <c:pt idx="6">
                  <c:v>605.16</c:v>
                </c:pt>
                <c:pt idx="7">
                  <c:v>609.97</c:v>
                </c:pt>
                <c:pt idx="8">
                  <c:v>615.04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03-413B-8EC1-BCFFC92C99FF}"/>
            </c:ext>
          </c:extLst>
        </c:ser>
        <c:ser>
          <c:idx val="2"/>
          <c:order val="2"/>
          <c:tx>
            <c:strRef>
              <c:f>'ThermoProperties MEA'!$O$14</c:f>
              <c:strCache>
                <c:ptCount val="1"/>
                <c:pt idx="0">
                  <c:v>Fresh 3M MEA Solvent Mw/(m*K)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MEA'!$N$15:$N$23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MEA'!$O$15:$O$23</c:f>
              <c:numCache>
                <c:formatCode>General</c:formatCode>
                <c:ptCount val="9"/>
                <c:pt idx="0">
                  <c:v>516.4</c:v>
                </c:pt>
                <c:pt idx="1">
                  <c:v>521.41999999999996</c:v>
                </c:pt>
                <c:pt idx="2">
                  <c:v>526.42999999999995</c:v>
                </c:pt>
                <c:pt idx="3">
                  <c:v>531.14</c:v>
                </c:pt>
                <c:pt idx="4">
                  <c:v>535.44000000000005</c:v>
                </c:pt>
                <c:pt idx="5">
                  <c:v>540.25</c:v>
                </c:pt>
                <c:pt idx="6">
                  <c:v>544.92999999999995</c:v>
                </c:pt>
                <c:pt idx="7">
                  <c:v>550.04</c:v>
                </c:pt>
                <c:pt idx="8">
                  <c:v>551.09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03-413B-8EC1-BCFFC92C9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967935"/>
        <c:axId val="2036964607"/>
      </c:scatterChart>
      <c:valAx>
        <c:axId val="2036967935"/>
        <c:scaling>
          <c:orientation val="minMax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</a:t>
                </a: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964607"/>
        <c:crosses val="autoZero"/>
        <c:crossBetween val="midCat"/>
      </c:valAx>
      <c:valAx>
        <c:axId val="2036964607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Thermal</a:t>
                </a:r>
                <a:r>
                  <a:rPr lang="en-US" baseline="0"/>
                  <a:t> Conductivity Mw/(m*K)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96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Specific</a:t>
            </a:r>
            <a:r>
              <a:rPr lang="en-US" baseline="0"/>
              <a:t> Heat Capacity Profile - MEA FRESH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MEA'!$B$30</c:f>
              <c:strCache>
                <c:ptCount val="1"/>
                <c:pt idx="0">
                  <c:v>Fresh 5M MEA Solvent J/Gk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MEA'!$A$31:$A$39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MEA'!$B$31:$B$39</c:f>
              <c:numCache>
                <c:formatCode>General</c:formatCode>
                <c:ptCount val="9"/>
                <c:pt idx="0">
                  <c:v>3.71</c:v>
                </c:pt>
                <c:pt idx="1">
                  <c:v>3.74</c:v>
                </c:pt>
                <c:pt idx="2">
                  <c:v>3.76</c:v>
                </c:pt>
                <c:pt idx="3">
                  <c:v>3.78</c:v>
                </c:pt>
                <c:pt idx="4">
                  <c:v>3.8</c:v>
                </c:pt>
                <c:pt idx="5">
                  <c:v>3.81</c:v>
                </c:pt>
                <c:pt idx="6">
                  <c:v>3.82</c:v>
                </c:pt>
                <c:pt idx="7">
                  <c:v>3.82</c:v>
                </c:pt>
                <c:pt idx="8">
                  <c:v>3.83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7A-4148-9175-A43C711D96B2}"/>
            </c:ext>
          </c:extLst>
        </c:ser>
        <c:ser>
          <c:idx val="1"/>
          <c:order val="1"/>
          <c:tx>
            <c:strRef>
              <c:f>'ThermoProperties MEA'!$T$30</c:f>
              <c:strCache>
                <c:ptCount val="1"/>
                <c:pt idx="0">
                  <c:v>Fresh 1M MEA Solvent J/Gk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MEA'!$S$31:$S$39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MEA'!$T$31:$T$39</c:f>
              <c:numCache>
                <c:formatCode>General</c:formatCode>
                <c:ptCount val="9"/>
                <c:pt idx="0">
                  <c:v>4.08</c:v>
                </c:pt>
                <c:pt idx="1">
                  <c:v>4.08</c:v>
                </c:pt>
                <c:pt idx="2">
                  <c:v>4.08</c:v>
                </c:pt>
                <c:pt idx="3">
                  <c:v>4.07</c:v>
                </c:pt>
                <c:pt idx="4">
                  <c:v>4.07</c:v>
                </c:pt>
                <c:pt idx="5">
                  <c:v>4.0599999999999996</c:v>
                </c:pt>
                <c:pt idx="6">
                  <c:v>4.05</c:v>
                </c:pt>
                <c:pt idx="7">
                  <c:v>4.05</c:v>
                </c:pt>
                <c:pt idx="8">
                  <c:v>4.05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7A-4148-9175-A43C711D96B2}"/>
            </c:ext>
          </c:extLst>
        </c:ser>
        <c:ser>
          <c:idx val="2"/>
          <c:order val="2"/>
          <c:tx>
            <c:strRef>
              <c:f>'ThermoProperties MEA'!$O$30</c:f>
              <c:strCache>
                <c:ptCount val="1"/>
                <c:pt idx="0">
                  <c:v>Fresh 3M MEA Solvent J/Gk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MEA'!$N$31:$N$39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MEA'!$O$31:$O$39</c:f>
              <c:numCache>
                <c:formatCode>General</c:formatCode>
                <c:ptCount val="9"/>
                <c:pt idx="0">
                  <c:v>3.92</c:v>
                </c:pt>
                <c:pt idx="1">
                  <c:v>3.93</c:v>
                </c:pt>
                <c:pt idx="2">
                  <c:v>3.94</c:v>
                </c:pt>
                <c:pt idx="3">
                  <c:v>3.95</c:v>
                </c:pt>
                <c:pt idx="4">
                  <c:v>3.96</c:v>
                </c:pt>
                <c:pt idx="5">
                  <c:v>3.96</c:v>
                </c:pt>
                <c:pt idx="6">
                  <c:v>3.97</c:v>
                </c:pt>
                <c:pt idx="7">
                  <c:v>3.97</c:v>
                </c:pt>
                <c:pt idx="8">
                  <c:v>3.96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7A-4148-9175-A43C711D9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398607"/>
        <c:axId val="2037392783"/>
      </c:scatterChart>
      <c:valAx>
        <c:axId val="2037398607"/>
        <c:scaling>
          <c:orientation val="minMax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2783"/>
        <c:crosses val="autoZero"/>
        <c:crossBetween val="midCat"/>
      </c:valAx>
      <c:valAx>
        <c:axId val="20373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</a:t>
                </a:r>
                <a:r>
                  <a:rPr lang="en-US" baseline="0"/>
                  <a:t> Heat capacity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8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Density</a:t>
            </a:r>
            <a:r>
              <a:rPr lang="en-US" baseline="0"/>
              <a:t> Profile - MEA Fresh Solvent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MEA'!$B$2</c:f>
              <c:strCache>
                <c:ptCount val="1"/>
                <c:pt idx="0">
                  <c:v>Fresh 5M 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'ThermoProperties MEA'!$A$3:$A$5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MEA'!$B$3:$B$5</c:f>
              <c:numCache>
                <c:formatCode>General</c:formatCode>
                <c:ptCount val="3"/>
                <c:pt idx="0">
                  <c:v>1.01196</c:v>
                </c:pt>
                <c:pt idx="1">
                  <c:v>1.0095499999999999</c:v>
                </c:pt>
                <c:pt idx="2">
                  <c:v>1.00701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8C-4CF9-8FC3-1E819861DEEF}"/>
            </c:ext>
          </c:extLst>
        </c:ser>
        <c:ser>
          <c:idx val="1"/>
          <c:order val="1"/>
          <c:tx>
            <c:strRef>
              <c:f>'ThermoProperties MEA'!$T$2</c:f>
              <c:strCache>
                <c:ptCount val="1"/>
                <c:pt idx="0">
                  <c:v>Fresh 1M 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MEA'!$S$3:$S$5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MEA'!$T$3:$T$5</c:f>
              <c:numCache>
                <c:formatCode>General</c:formatCode>
                <c:ptCount val="3"/>
                <c:pt idx="0">
                  <c:v>0.99885000000000002</c:v>
                </c:pt>
                <c:pt idx="1">
                  <c:v>0.99712999999999996</c:v>
                </c:pt>
                <c:pt idx="2">
                  <c:v>0.99522999999999995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8C-4CF9-8FC3-1E819861DEEF}"/>
            </c:ext>
          </c:extLst>
        </c:ser>
        <c:ser>
          <c:idx val="2"/>
          <c:order val="2"/>
          <c:tx>
            <c:strRef>
              <c:f>'ThermoProperties MEA'!$O$2</c:f>
              <c:strCache>
                <c:ptCount val="1"/>
                <c:pt idx="0">
                  <c:v>Fresh 3M 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MEA'!$N$3:$N$5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MEA'!$O$3:$O$5</c:f>
              <c:numCache>
                <c:formatCode>General</c:formatCode>
                <c:ptCount val="3"/>
                <c:pt idx="0">
                  <c:v>1.0037199999999999</c:v>
                </c:pt>
                <c:pt idx="1">
                  <c:v>1.0017</c:v>
                </c:pt>
                <c:pt idx="2">
                  <c:v>0.99963000000000002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8C-4CF9-8FC3-1E819861D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495247"/>
        <c:axId val="1945495663"/>
      </c:scatterChart>
      <c:valAx>
        <c:axId val="1945495247"/>
        <c:scaling>
          <c:orientation val="minMax"/>
          <c:max val="4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5663"/>
        <c:crosses val="autoZero"/>
        <c:crossBetween val="midCat"/>
      </c:valAx>
      <c:valAx>
        <c:axId val="194549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</a:t>
                </a:r>
                <a:r>
                  <a:rPr lang="en-US" baseline="0"/>
                  <a:t> g/cm</a:t>
                </a:r>
                <a:r>
                  <a:rPr lang="en-US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ᶟ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Density</a:t>
            </a:r>
            <a:r>
              <a:rPr lang="en-US" baseline="0"/>
              <a:t> Profile - Loaded Solvent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MEA'!$K$2</c:f>
              <c:strCache>
                <c:ptCount val="1"/>
                <c:pt idx="0">
                  <c:v>Loaded 5M 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'ThermoProperties MEA'!$A$3:$A$5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MEA'!$K$3:$K$5</c:f>
              <c:numCache>
                <c:formatCode>General</c:formatCode>
                <c:ptCount val="3"/>
                <c:pt idx="0">
                  <c:v>1.1102700000000001</c:v>
                </c:pt>
                <c:pt idx="1">
                  <c:v>1.10782</c:v>
                </c:pt>
                <c:pt idx="2">
                  <c:v>1.1052999999999999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CE-45B4-8282-5B9AA4B9424C}"/>
            </c:ext>
          </c:extLst>
        </c:ser>
        <c:ser>
          <c:idx val="1"/>
          <c:order val="1"/>
          <c:tx>
            <c:strRef>
              <c:f>'ThermoProperties MEA'!$U$2</c:f>
              <c:strCache>
                <c:ptCount val="1"/>
                <c:pt idx="0">
                  <c:v>Loaded 1M 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MEA'!$S$3:$S$5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MEA'!$U$3:$U$5</c:f>
              <c:numCache>
                <c:formatCode>General</c:formatCode>
                <c:ptCount val="3"/>
                <c:pt idx="0">
                  <c:v>1.0235799999999999</c:v>
                </c:pt>
                <c:pt idx="1">
                  <c:v>1.02172</c:v>
                </c:pt>
                <c:pt idx="2">
                  <c:v>1.0197000000000001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CE-45B4-8282-5B9AA4B9424C}"/>
            </c:ext>
          </c:extLst>
        </c:ser>
        <c:ser>
          <c:idx val="2"/>
          <c:order val="2"/>
          <c:tx>
            <c:strRef>
              <c:f>'ThermoProperties MEA'!$P$2</c:f>
              <c:strCache>
                <c:ptCount val="1"/>
                <c:pt idx="0">
                  <c:v>Loaded 3M 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MEA'!$N$3:$N$5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MEA'!$P$3:$P$5</c:f>
              <c:numCache>
                <c:formatCode>General</c:formatCode>
                <c:ptCount val="3"/>
                <c:pt idx="0">
                  <c:v>1.0696600000000001</c:v>
                </c:pt>
                <c:pt idx="1">
                  <c:v>1.0674399999999999</c:v>
                </c:pt>
                <c:pt idx="2">
                  <c:v>1.0651200000000001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CE-45B4-8282-5B9AA4B94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495247"/>
        <c:axId val="1945495663"/>
      </c:scatterChart>
      <c:valAx>
        <c:axId val="1945495247"/>
        <c:scaling>
          <c:orientation val="minMax"/>
          <c:max val="4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5663"/>
        <c:crosses val="autoZero"/>
        <c:crossBetween val="midCat"/>
      </c:valAx>
      <c:valAx>
        <c:axId val="194549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</a:t>
                </a:r>
                <a:r>
                  <a:rPr lang="en-US" baseline="0"/>
                  <a:t> g/cm</a:t>
                </a:r>
                <a:r>
                  <a:rPr lang="en-US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ᶟ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Density</a:t>
            </a:r>
            <a:r>
              <a:rPr lang="en-US" baseline="0"/>
              <a:t> Profile - Lean Solvent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MEA'!$L$2</c:f>
              <c:strCache>
                <c:ptCount val="1"/>
                <c:pt idx="0">
                  <c:v>Lean 5M 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'ThermoProperties MEA'!$A$3:$A$5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MEA'!$L$3:$L$5</c:f>
              <c:numCache>
                <c:formatCode>General</c:formatCode>
                <c:ptCount val="3"/>
                <c:pt idx="0">
                  <c:v>1.0954699999999999</c:v>
                </c:pt>
                <c:pt idx="1">
                  <c:v>1.0930500000000001</c:v>
                </c:pt>
                <c:pt idx="2">
                  <c:v>1.0905499999999999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69-4659-8317-E8148FAB6912}"/>
            </c:ext>
          </c:extLst>
        </c:ser>
        <c:ser>
          <c:idx val="1"/>
          <c:order val="1"/>
          <c:tx>
            <c:strRef>
              <c:f>'ThermoProperties MEA'!$V$2</c:f>
              <c:strCache>
                <c:ptCount val="1"/>
                <c:pt idx="0">
                  <c:v>Lean 1M 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MEA'!$S$3:$S$5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MEA'!$V$3:$V$5</c:f>
              <c:numCache>
                <c:formatCode>General</c:formatCode>
                <c:ptCount val="3"/>
                <c:pt idx="0">
                  <c:v>1.01684</c:v>
                </c:pt>
                <c:pt idx="1">
                  <c:v>1.0149999999999999</c:v>
                </c:pt>
                <c:pt idx="2">
                  <c:v>1.0129999999999999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69-4659-8317-E8148FAB6912}"/>
            </c:ext>
          </c:extLst>
        </c:ser>
        <c:ser>
          <c:idx val="2"/>
          <c:order val="2"/>
          <c:tx>
            <c:strRef>
              <c:f>'ThermoProperties MEA'!$Q$2</c:f>
              <c:strCache>
                <c:ptCount val="1"/>
                <c:pt idx="0">
                  <c:v>Lean 3M 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MEA'!$N$3:$N$5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MEA'!$Q$3:$Q$5</c:f>
              <c:numCache>
                <c:formatCode>General</c:formatCode>
                <c:ptCount val="3"/>
                <c:pt idx="0">
                  <c:v>1.0577000000000001</c:v>
                </c:pt>
                <c:pt idx="1">
                  <c:v>1.0555399999999999</c:v>
                </c:pt>
                <c:pt idx="2">
                  <c:v>1.0532600000000001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69-4659-8317-E8148FAB6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495247"/>
        <c:axId val="1945495663"/>
      </c:scatterChart>
      <c:valAx>
        <c:axId val="1945495247"/>
        <c:scaling>
          <c:orientation val="minMax"/>
          <c:max val="4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5663"/>
        <c:crosses val="autoZero"/>
        <c:crossBetween val="midCat"/>
      </c:valAx>
      <c:valAx>
        <c:axId val="194549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</a:t>
                </a:r>
                <a:r>
                  <a:rPr lang="en-US" baseline="0"/>
                  <a:t> g/cm</a:t>
                </a:r>
                <a:r>
                  <a:rPr lang="en-US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ᶟ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Viscosity Profile -  MEA Loaded Solvent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MEA'!$K$8</c:f>
              <c:strCache>
                <c:ptCount val="1"/>
                <c:pt idx="0">
                  <c:v>Loaded 5M MEA Solvent mPas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MEA'!$A$9:$A$11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MEA'!$K$9:$K$11</c:f>
              <c:numCache>
                <c:formatCode>0.00</c:formatCode>
                <c:ptCount val="3"/>
                <c:pt idx="0">
                  <c:v>3.2324999999999999</c:v>
                </c:pt>
                <c:pt idx="1">
                  <c:v>2.7879999999999998</c:v>
                </c:pt>
                <c:pt idx="2">
                  <c:v>2.4079999999999999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A6-439F-8568-6EE6AF0C784F}"/>
            </c:ext>
          </c:extLst>
        </c:ser>
        <c:ser>
          <c:idx val="1"/>
          <c:order val="1"/>
          <c:tx>
            <c:strRef>
              <c:f>'ThermoProperties MEA'!$U$8</c:f>
              <c:strCache>
                <c:ptCount val="1"/>
                <c:pt idx="0">
                  <c:v>Loaded 1M MEA Solvent mPas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MEA'!$S$9:$S$11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MEA'!$U$9:$U$11</c:f>
              <c:numCache>
                <c:formatCode>General</c:formatCode>
                <c:ptCount val="3"/>
                <c:pt idx="0">
                  <c:v>0.85199999999999998</c:v>
                </c:pt>
                <c:pt idx="1">
                  <c:v>0.76</c:v>
                </c:pt>
                <c:pt idx="2">
                  <c:v>0.68500000000000005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A6-439F-8568-6EE6AF0C784F}"/>
            </c:ext>
          </c:extLst>
        </c:ser>
        <c:ser>
          <c:idx val="2"/>
          <c:order val="2"/>
          <c:tx>
            <c:strRef>
              <c:f>'ThermoProperties MEA'!$P$8</c:f>
              <c:strCache>
                <c:ptCount val="1"/>
                <c:pt idx="0">
                  <c:v>Loaded 3M MEA Solvent mPas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MEA'!$N$9:$N$11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MEA'!$P$9:$P$11</c:f>
              <c:numCache>
                <c:formatCode>General</c:formatCode>
                <c:ptCount val="3"/>
                <c:pt idx="0">
                  <c:v>1.748</c:v>
                </c:pt>
                <c:pt idx="1">
                  <c:v>1.538</c:v>
                </c:pt>
                <c:pt idx="2">
                  <c:v>1.365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A6-439F-8568-6EE6AF0C7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675151"/>
        <c:axId val="2110671407"/>
      </c:scatterChart>
      <c:valAx>
        <c:axId val="2110675151"/>
        <c:scaling>
          <c:orientation val="minMax"/>
          <c:max val="40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Temperature</a:t>
                </a:r>
                <a:r>
                  <a:rPr lang="en-US" baseline="0"/>
                  <a:t> 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71407"/>
        <c:crosses val="autoZero"/>
        <c:crossBetween val="midCat"/>
        <c:majorUnit val="5"/>
      </c:valAx>
      <c:valAx>
        <c:axId val="2110671407"/>
        <c:scaling>
          <c:orientation val="minMax"/>
          <c:max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Viscosity,</a:t>
                </a:r>
                <a:r>
                  <a:rPr lang="en-US" baseline="0"/>
                  <a:t> mPas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75151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Viscosity Profile -  MEA Lean Solvent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MEA'!$L$8</c:f>
              <c:strCache>
                <c:ptCount val="1"/>
                <c:pt idx="0">
                  <c:v>Lean 5M MEA Solvent mPas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MEA'!$A$9:$A$11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MEA'!$L$9:$L$11</c:f>
              <c:numCache>
                <c:formatCode>0.00</c:formatCode>
                <c:ptCount val="3"/>
                <c:pt idx="0">
                  <c:v>3.1909999999999998</c:v>
                </c:pt>
                <c:pt idx="1">
                  <c:v>2.762</c:v>
                </c:pt>
                <c:pt idx="2">
                  <c:v>2.407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03-4F30-A40A-2B9E3476118B}"/>
            </c:ext>
          </c:extLst>
        </c:ser>
        <c:ser>
          <c:idx val="1"/>
          <c:order val="1"/>
          <c:tx>
            <c:strRef>
              <c:f>'ThermoProperties MEA'!$V$8</c:f>
              <c:strCache>
                <c:ptCount val="1"/>
                <c:pt idx="0">
                  <c:v>Lean 1M MEA Solvent mPas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MEA'!$S$9:$S$11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MEA'!$V$9:$V$11</c:f>
              <c:numCache>
                <c:formatCode>General</c:formatCode>
                <c:ptCount val="3"/>
                <c:pt idx="0">
                  <c:v>0.84499999999999997</c:v>
                </c:pt>
                <c:pt idx="1">
                  <c:v>0.753</c:v>
                </c:pt>
                <c:pt idx="2">
                  <c:v>0.67900000000000005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03-4F30-A40A-2B9E3476118B}"/>
            </c:ext>
          </c:extLst>
        </c:ser>
        <c:ser>
          <c:idx val="2"/>
          <c:order val="2"/>
          <c:tx>
            <c:strRef>
              <c:f>'ThermoProperties MEA'!$Q$8</c:f>
              <c:strCache>
                <c:ptCount val="1"/>
                <c:pt idx="0">
                  <c:v>Lean 3M MEA Solvent mPas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MEA'!$N$9:$N$11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MEA'!$Q$9:$Q$11</c:f>
              <c:numCache>
                <c:formatCode>General</c:formatCode>
                <c:ptCount val="3"/>
                <c:pt idx="0">
                  <c:v>1.6970000000000001</c:v>
                </c:pt>
                <c:pt idx="1">
                  <c:v>1.494</c:v>
                </c:pt>
                <c:pt idx="2">
                  <c:v>1.325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03-4F30-A40A-2B9E34761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675151"/>
        <c:axId val="2110671407"/>
      </c:scatterChart>
      <c:valAx>
        <c:axId val="2110675151"/>
        <c:scaling>
          <c:orientation val="minMax"/>
          <c:max val="40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Temperature</a:t>
                </a:r>
                <a:r>
                  <a:rPr lang="en-US" baseline="0"/>
                  <a:t> 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71407"/>
        <c:crosses val="autoZero"/>
        <c:crossBetween val="midCat"/>
        <c:majorUnit val="5"/>
      </c:valAx>
      <c:valAx>
        <c:axId val="2110671407"/>
        <c:scaling>
          <c:orientation val="minMax"/>
          <c:max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Viscosity,</a:t>
                </a:r>
                <a:r>
                  <a:rPr lang="en-US" baseline="0"/>
                  <a:t> mPas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75151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Thermal</a:t>
            </a:r>
            <a:r>
              <a:rPr lang="en-US" baseline="0"/>
              <a:t> Conductivity Profile - Loaded MEA Solvent</a:t>
            </a:r>
            <a:endParaRPr lang="en-US"/>
          </a:p>
        </c:rich>
      </c:tx>
      <c:layout>
        <c:manualLayout>
          <c:xMode val="edge"/>
          <c:yMode val="edge"/>
          <c:x val="0.170232634685917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MEA'!$K$14</c:f>
              <c:strCache>
                <c:ptCount val="1"/>
                <c:pt idx="0">
                  <c:v>Loaded 5M MEA Solvent Mw/(m*K)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MEA'!$A$15:$A$23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MEA'!$K$15:$K$23</c:f>
              <c:numCache>
                <c:formatCode>General</c:formatCode>
                <c:ptCount val="9"/>
                <c:pt idx="0">
                  <c:v>475.6</c:v>
                </c:pt>
                <c:pt idx="1">
                  <c:v>479.6</c:v>
                </c:pt>
                <c:pt idx="2">
                  <c:v>481.7</c:v>
                </c:pt>
                <c:pt idx="3">
                  <c:v>481</c:v>
                </c:pt>
                <c:pt idx="4">
                  <c:v>481</c:v>
                </c:pt>
                <c:pt idx="5">
                  <c:v>476.9</c:v>
                </c:pt>
                <c:pt idx="6">
                  <c:v>471.8</c:v>
                </c:pt>
                <c:pt idx="7">
                  <c:v>465.3</c:v>
                </c:pt>
                <c:pt idx="8">
                  <c:v>461.3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7-4E9A-9993-783651EB341C}"/>
            </c:ext>
          </c:extLst>
        </c:ser>
        <c:ser>
          <c:idx val="1"/>
          <c:order val="1"/>
          <c:tx>
            <c:strRef>
              <c:f>'ThermoProperties MEA'!$U$14</c:f>
              <c:strCache>
                <c:ptCount val="1"/>
                <c:pt idx="0">
                  <c:v>Loaded 1M MEA Solvent Mw/(m*K)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MEA'!$S$15:$S$23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MEA'!$U$15:$U$23</c:f>
              <c:numCache>
                <c:formatCode>General</c:formatCode>
                <c:ptCount val="9"/>
                <c:pt idx="0">
                  <c:v>584.6</c:v>
                </c:pt>
                <c:pt idx="1">
                  <c:v>591.72</c:v>
                </c:pt>
                <c:pt idx="2">
                  <c:v>597.85</c:v>
                </c:pt>
                <c:pt idx="3">
                  <c:v>604.75</c:v>
                </c:pt>
                <c:pt idx="4">
                  <c:v>610.62</c:v>
                </c:pt>
                <c:pt idx="5">
                  <c:v>615.89</c:v>
                </c:pt>
                <c:pt idx="6">
                  <c:v>617.92999999999995</c:v>
                </c:pt>
                <c:pt idx="7">
                  <c:v>621.41999999999996</c:v>
                </c:pt>
                <c:pt idx="8">
                  <c:v>623.61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F7-4E9A-9993-783651EB341C}"/>
            </c:ext>
          </c:extLst>
        </c:ser>
        <c:ser>
          <c:idx val="2"/>
          <c:order val="2"/>
          <c:tx>
            <c:strRef>
              <c:f>'ThermoProperties MEA'!$P$14</c:f>
              <c:strCache>
                <c:ptCount val="1"/>
                <c:pt idx="0">
                  <c:v>Loaded 3M MEA Solvent Mw/(m*K)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MEA'!$N$15:$N$23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MEA'!$P$15:$P$23</c:f>
              <c:numCache>
                <c:formatCode>General</c:formatCode>
                <c:ptCount val="9"/>
                <c:pt idx="0">
                  <c:v>529.6</c:v>
                </c:pt>
                <c:pt idx="1">
                  <c:v>535.36</c:v>
                </c:pt>
                <c:pt idx="2">
                  <c:v>540.66</c:v>
                </c:pt>
                <c:pt idx="3">
                  <c:v>544.15</c:v>
                </c:pt>
                <c:pt idx="4">
                  <c:v>548.54</c:v>
                </c:pt>
                <c:pt idx="5">
                  <c:v>550.94000000000005</c:v>
                </c:pt>
                <c:pt idx="6">
                  <c:v>551.98</c:v>
                </c:pt>
                <c:pt idx="7">
                  <c:v>551.04999999999995</c:v>
                </c:pt>
                <c:pt idx="8">
                  <c:v>546.78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F7-4E9A-9993-783651EB3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967935"/>
        <c:axId val="2036964607"/>
      </c:scatterChart>
      <c:valAx>
        <c:axId val="2036967935"/>
        <c:scaling>
          <c:orientation val="minMax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</a:t>
                </a: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964607"/>
        <c:crosses val="autoZero"/>
        <c:crossBetween val="midCat"/>
      </c:valAx>
      <c:valAx>
        <c:axId val="2036964607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Thermal</a:t>
                </a:r>
                <a:r>
                  <a:rPr lang="en-US" baseline="0"/>
                  <a:t> Conductivity Mw/(m*K)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96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Thermal</a:t>
            </a:r>
            <a:r>
              <a:rPr lang="en-US" baseline="0"/>
              <a:t> Conductivity Profile - Lean MEA Solvent</a:t>
            </a:r>
            <a:endParaRPr lang="en-US"/>
          </a:p>
        </c:rich>
      </c:tx>
      <c:layout>
        <c:manualLayout>
          <c:xMode val="edge"/>
          <c:yMode val="edge"/>
          <c:x val="0.170232634685917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MEA'!$L$14</c:f>
              <c:strCache>
                <c:ptCount val="1"/>
                <c:pt idx="0">
                  <c:v>Lean 5M MEA Solvent Mw/(m*K)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MEA'!$A$15:$A$23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MEA'!$L$15:$L$23</c:f>
              <c:numCache>
                <c:formatCode>General</c:formatCode>
                <c:ptCount val="9"/>
                <c:pt idx="0">
                  <c:v>469.62</c:v>
                </c:pt>
                <c:pt idx="1">
                  <c:v>473.37</c:v>
                </c:pt>
                <c:pt idx="2">
                  <c:v>476.01</c:v>
                </c:pt>
                <c:pt idx="3">
                  <c:v>477.79</c:v>
                </c:pt>
                <c:pt idx="4">
                  <c:v>476.32</c:v>
                </c:pt>
                <c:pt idx="5">
                  <c:v>477.76</c:v>
                </c:pt>
                <c:pt idx="6">
                  <c:v>475.84</c:v>
                </c:pt>
                <c:pt idx="7">
                  <c:v>474.18</c:v>
                </c:pt>
                <c:pt idx="8">
                  <c:v>468.49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4-45D4-8DC9-D58D490B9EED}"/>
            </c:ext>
          </c:extLst>
        </c:ser>
        <c:ser>
          <c:idx val="1"/>
          <c:order val="1"/>
          <c:tx>
            <c:strRef>
              <c:f>'ThermoProperties MEA'!$V$14</c:f>
              <c:strCache>
                <c:ptCount val="1"/>
                <c:pt idx="0">
                  <c:v>Lean 1M MEA Solvent Mw/(m*K)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MEA'!$S$15:$S$23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MEA'!$V$15:$V$23</c:f>
              <c:numCache>
                <c:formatCode>General</c:formatCode>
                <c:ptCount val="9"/>
                <c:pt idx="0">
                  <c:v>580.65</c:v>
                </c:pt>
                <c:pt idx="1">
                  <c:v>587.80999999999995</c:v>
                </c:pt>
                <c:pt idx="2">
                  <c:v>595.15</c:v>
                </c:pt>
                <c:pt idx="3">
                  <c:v>600.92999999999995</c:v>
                </c:pt>
                <c:pt idx="4">
                  <c:v>607.16999999999996</c:v>
                </c:pt>
                <c:pt idx="5">
                  <c:v>611.86</c:v>
                </c:pt>
                <c:pt idx="6">
                  <c:v>616.91</c:v>
                </c:pt>
                <c:pt idx="7">
                  <c:v>620.58000000000004</c:v>
                </c:pt>
                <c:pt idx="8">
                  <c:v>624.96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14-45D4-8DC9-D58D490B9EED}"/>
            </c:ext>
          </c:extLst>
        </c:ser>
        <c:ser>
          <c:idx val="2"/>
          <c:order val="2"/>
          <c:tx>
            <c:strRef>
              <c:f>'ThermoProperties MEA'!$Q$14</c:f>
              <c:strCache>
                <c:ptCount val="1"/>
                <c:pt idx="0">
                  <c:v>Lean 3M MEA Solvent Mw/(m*K)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MEA'!$N$15:$N$23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MEA'!$Q$15:$Q$23</c:f>
              <c:numCache>
                <c:formatCode>General</c:formatCode>
                <c:ptCount val="9"/>
                <c:pt idx="0">
                  <c:v>528.45000000000005</c:v>
                </c:pt>
                <c:pt idx="1">
                  <c:v>533.86</c:v>
                </c:pt>
                <c:pt idx="2">
                  <c:v>537.63</c:v>
                </c:pt>
                <c:pt idx="3">
                  <c:v>542.26</c:v>
                </c:pt>
                <c:pt idx="4">
                  <c:v>545.16999999999996</c:v>
                </c:pt>
                <c:pt idx="5">
                  <c:v>546.92999999999995</c:v>
                </c:pt>
                <c:pt idx="6">
                  <c:v>547.1</c:v>
                </c:pt>
                <c:pt idx="7">
                  <c:v>545.72</c:v>
                </c:pt>
                <c:pt idx="8">
                  <c:v>542.91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14-45D4-8DC9-D58D490B9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967935"/>
        <c:axId val="2036964607"/>
      </c:scatterChart>
      <c:valAx>
        <c:axId val="2036967935"/>
        <c:scaling>
          <c:orientation val="minMax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</a:t>
                </a: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964607"/>
        <c:crosses val="autoZero"/>
        <c:crossBetween val="midCat"/>
      </c:valAx>
      <c:valAx>
        <c:axId val="203696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Thermal</a:t>
                </a:r>
                <a:r>
                  <a:rPr lang="en-US" baseline="0"/>
                  <a:t> Conductivity Mw/(m*K)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96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Specific</a:t>
            </a:r>
            <a:r>
              <a:rPr lang="en-US" baseline="0"/>
              <a:t> Heat Capacity Profile - MEA Loaded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MEA'!$K$30</c:f>
              <c:strCache>
                <c:ptCount val="1"/>
                <c:pt idx="0">
                  <c:v>Loaded 5M MEA Solvent J/Gk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MEA'!$A$31:$A$39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MEA'!$K$31:$K$39</c:f>
              <c:numCache>
                <c:formatCode>General</c:formatCode>
                <c:ptCount val="9"/>
                <c:pt idx="0">
                  <c:v>3.42</c:v>
                </c:pt>
                <c:pt idx="1">
                  <c:v>3.44</c:v>
                </c:pt>
                <c:pt idx="2">
                  <c:v>3.46</c:v>
                </c:pt>
                <c:pt idx="3">
                  <c:v>3.46</c:v>
                </c:pt>
                <c:pt idx="4">
                  <c:v>3.47</c:v>
                </c:pt>
                <c:pt idx="5">
                  <c:v>3.47</c:v>
                </c:pt>
                <c:pt idx="6">
                  <c:v>3.46</c:v>
                </c:pt>
                <c:pt idx="7">
                  <c:v>3.46</c:v>
                </c:pt>
                <c:pt idx="8">
                  <c:v>3.46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0-4824-A0E8-156D759F0E21}"/>
            </c:ext>
          </c:extLst>
        </c:ser>
        <c:ser>
          <c:idx val="1"/>
          <c:order val="1"/>
          <c:tx>
            <c:strRef>
              <c:f>'ThermoProperties MEA'!$U$30</c:f>
              <c:strCache>
                <c:ptCount val="1"/>
                <c:pt idx="0">
                  <c:v>Loaded 1M MEA Solvent J/Gk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MEA'!$S$31:$S$39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MEA'!$U$31:$U$39</c:f>
              <c:numCache>
                <c:formatCode>General</c:formatCode>
                <c:ptCount val="9"/>
                <c:pt idx="0">
                  <c:v>4.01</c:v>
                </c:pt>
                <c:pt idx="1">
                  <c:v>4.01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3.99</c:v>
                </c:pt>
                <c:pt idx="6">
                  <c:v>3.98</c:v>
                </c:pt>
                <c:pt idx="7">
                  <c:v>3.98</c:v>
                </c:pt>
                <c:pt idx="8">
                  <c:v>3.97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F0-4824-A0E8-156D759F0E21}"/>
            </c:ext>
          </c:extLst>
        </c:ser>
        <c:ser>
          <c:idx val="2"/>
          <c:order val="2"/>
          <c:tx>
            <c:strRef>
              <c:f>'ThermoProperties MEA'!$P$30</c:f>
              <c:strCache>
                <c:ptCount val="1"/>
                <c:pt idx="0">
                  <c:v>Loaded 3M MEA Solvent J/Gk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MEA'!$N$31:$N$39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MEA'!$P$31:$P$39</c:f>
              <c:numCache>
                <c:formatCode>General</c:formatCode>
                <c:ptCount val="9"/>
                <c:pt idx="0">
                  <c:v>3.71</c:v>
                </c:pt>
                <c:pt idx="1">
                  <c:v>3.72</c:v>
                </c:pt>
                <c:pt idx="2">
                  <c:v>3.73</c:v>
                </c:pt>
                <c:pt idx="3">
                  <c:v>3.73</c:v>
                </c:pt>
                <c:pt idx="4">
                  <c:v>3.74</c:v>
                </c:pt>
                <c:pt idx="5">
                  <c:v>3.74</c:v>
                </c:pt>
                <c:pt idx="6">
                  <c:v>3.73</c:v>
                </c:pt>
                <c:pt idx="7">
                  <c:v>3.73</c:v>
                </c:pt>
                <c:pt idx="8">
                  <c:v>3.72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F0-4824-A0E8-156D759F0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398607"/>
        <c:axId val="2037392783"/>
      </c:scatterChart>
      <c:valAx>
        <c:axId val="2037398607"/>
        <c:scaling>
          <c:orientation val="minMax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2783"/>
        <c:crosses val="autoZero"/>
        <c:crossBetween val="midCat"/>
      </c:valAx>
      <c:valAx>
        <c:axId val="20373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</a:t>
                </a:r>
                <a:r>
                  <a:rPr lang="en-US" baseline="0"/>
                  <a:t> Heat capacity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8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Specific</a:t>
            </a:r>
            <a:r>
              <a:rPr lang="en-US" baseline="0"/>
              <a:t> Heat Capacity Profile - MEA Lean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MEA'!$L$30</c:f>
              <c:strCache>
                <c:ptCount val="1"/>
                <c:pt idx="0">
                  <c:v>Lean 5M MEA Solvent J/Gk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MEA'!$A$31:$A$39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MEA'!$L$31:$L$39</c:f>
              <c:numCache>
                <c:formatCode>General</c:formatCode>
                <c:ptCount val="9"/>
                <c:pt idx="0">
                  <c:v>3.45</c:v>
                </c:pt>
                <c:pt idx="1">
                  <c:v>3.47</c:v>
                </c:pt>
                <c:pt idx="2">
                  <c:v>3.49</c:v>
                </c:pt>
                <c:pt idx="3">
                  <c:v>3.5</c:v>
                </c:pt>
                <c:pt idx="4">
                  <c:v>3.5</c:v>
                </c:pt>
                <c:pt idx="5">
                  <c:v>3.51</c:v>
                </c:pt>
                <c:pt idx="6">
                  <c:v>3.52</c:v>
                </c:pt>
                <c:pt idx="7">
                  <c:v>3.52</c:v>
                </c:pt>
                <c:pt idx="8">
                  <c:v>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4A-418E-915C-FEEB4BC58BB6}"/>
            </c:ext>
          </c:extLst>
        </c:ser>
        <c:ser>
          <c:idx val="1"/>
          <c:order val="1"/>
          <c:tx>
            <c:strRef>
              <c:f>'ThermoProperties MEA'!$V$30</c:f>
              <c:strCache>
                <c:ptCount val="1"/>
                <c:pt idx="0">
                  <c:v>Lean 1M MEA Solvent J/Gk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MEA'!$S$31:$S$39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MEA'!$V$31:$V$39</c:f>
              <c:numCache>
                <c:formatCode>General</c:formatCode>
                <c:ptCount val="9"/>
                <c:pt idx="0">
                  <c:v>4.03</c:v>
                </c:pt>
                <c:pt idx="1">
                  <c:v>4.03</c:v>
                </c:pt>
                <c:pt idx="2">
                  <c:v>4.03</c:v>
                </c:pt>
                <c:pt idx="3">
                  <c:v>4.0199999999999996</c:v>
                </c:pt>
                <c:pt idx="4">
                  <c:v>4.0199999999999996</c:v>
                </c:pt>
                <c:pt idx="5">
                  <c:v>4.01</c:v>
                </c:pt>
                <c:pt idx="6">
                  <c:v>4.01</c:v>
                </c:pt>
                <c:pt idx="7">
                  <c:v>4</c:v>
                </c:pt>
                <c:pt idx="8">
                  <c:v>3.99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4A-418E-915C-FEEB4BC58BB6}"/>
            </c:ext>
          </c:extLst>
        </c:ser>
        <c:ser>
          <c:idx val="2"/>
          <c:order val="2"/>
          <c:tx>
            <c:strRef>
              <c:f>'ThermoProperties MEA'!$Q$30</c:f>
              <c:strCache>
                <c:ptCount val="1"/>
                <c:pt idx="0">
                  <c:v>Lean 3M MEA Solvent J/Gk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MEA'!$N$31:$N$39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'ThermoProperties MEA'!$Q$31:$Q$39</c:f>
              <c:numCache>
                <c:formatCode>General</c:formatCode>
                <c:ptCount val="9"/>
                <c:pt idx="0">
                  <c:v>3.75</c:v>
                </c:pt>
                <c:pt idx="1">
                  <c:v>3.76</c:v>
                </c:pt>
                <c:pt idx="2">
                  <c:v>3.77</c:v>
                </c:pt>
                <c:pt idx="3">
                  <c:v>3.77</c:v>
                </c:pt>
                <c:pt idx="4">
                  <c:v>3.77</c:v>
                </c:pt>
                <c:pt idx="5">
                  <c:v>3.77</c:v>
                </c:pt>
                <c:pt idx="6">
                  <c:v>3.77</c:v>
                </c:pt>
                <c:pt idx="7">
                  <c:v>3.76</c:v>
                </c:pt>
                <c:pt idx="8">
                  <c:v>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4A-418E-915C-FEEB4BC58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398607"/>
        <c:axId val="2037392783"/>
      </c:scatterChart>
      <c:valAx>
        <c:axId val="2037398607"/>
        <c:scaling>
          <c:orientation val="minMax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2783"/>
        <c:crosses val="autoZero"/>
        <c:crossBetween val="midCat"/>
      </c:valAx>
      <c:valAx>
        <c:axId val="20373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</a:t>
                </a:r>
                <a:r>
                  <a:rPr lang="en-US" baseline="0"/>
                  <a:t> Heat capacity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8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Density</a:t>
            </a:r>
            <a:r>
              <a:rPr lang="en-US" baseline="0"/>
              <a:t> Profile - Lean PRLD Solvent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EMEA 1'!$L$2</c:f>
              <c:strCache>
                <c:ptCount val="1"/>
                <c:pt idx="0">
                  <c:v>Lean 2M EMEA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'ThermoProperties EMEA 1'!$A$3:$A$5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1'!$L$3:$L$5</c:f>
              <c:numCache>
                <c:formatCode>General</c:formatCode>
                <c:ptCount val="3"/>
                <c:pt idx="0">
                  <c:v>1.0303500000000001</c:v>
                </c:pt>
                <c:pt idx="1">
                  <c:v>1.0277700000000001</c:v>
                </c:pt>
                <c:pt idx="2">
                  <c:v>1.02501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5C-42BA-8E4B-94AD94A1F9AE}"/>
            </c:ext>
          </c:extLst>
        </c:ser>
        <c:ser>
          <c:idx val="1"/>
          <c:order val="1"/>
          <c:tx>
            <c:strRef>
              <c:f>'ThermoProperties EMEA 1'!$V$2</c:f>
              <c:strCache>
                <c:ptCount val="1"/>
                <c:pt idx="0">
                  <c:v>Lean 5M EMEA 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EMEA 1'!$S$3:$S$5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1'!$V$3:$V$5</c:f>
              <c:numCache>
                <c:formatCode>General</c:formatCode>
                <c:ptCount val="3"/>
                <c:pt idx="0">
                  <c:v>1.0461100000000001</c:v>
                </c:pt>
                <c:pt idx="1">
                  <c:v>1.0426500000000001</c:v>
                </c:pt>
                <c:pt idx="2">
                  <c:v>1.0391300000000001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5C-42BA-8E4B-94AD94A1F9AE}"/>
            </c:ext>
          </c:extLst>
        </c:ser>
        <c:ser>
          <c:idx val="2"/>
          <c:order val="2"/>
          <c:tx>
            <c:strRef>
              <c:f>'ThermoProperties EMEA 1'!$Q$2</c:f>
              <c:strCache>
                <c:ptCount val="1"/>
                <c:pt idx="0">
                  <c:v>Lean 3M EMEA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EMEA 1'!$N$3:$N$5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1'!$Q$3:$Q$5</c:f>
              <c:numCache>
                <c:formatCode>General</c:formatCode>
                <c:ptCount val="3"/>
                <c:pt idx="0">
                  <c:v>1.04433</c:v>
                </c:pt>
                <c:pt idx="1">
                  <c:v>1.0413300000000001</c:v>
                </c:pt>
                <c:pt idx="2">
                  <c:v>1.0382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5C-42BA-8E4B-94AD94A1F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495247"/>
        <c:axId val="1945495663"/>
      </c:scatterChart>
      <c:valAx>
        <c:axId val="1945495247"/>
        <c:scaling>
          <c:orientation val="minMax"/>
          <c:max val="4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5663"/>
        <c:crosses val="autoZero"/>
        <c:crossBetween val="midCat"/>
      </c:valAx>
      <c:valAx>
        <c:axId val="194549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</a:t>
                </a:r>
                <a:r>
                  <a:rPr lang="en-US" baseline="0"/>
                  <a:t> g/cm</a:t>
                </a:r>
                <a:r>
                  <a:rPr lang="en-US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ᶟ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Viscosity Profile -  MEA Lean Solvent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EMEA 1'!$L$8</c:f>
              <c:strCache>
                <c:ptCount val="1"/>
                <c:pt idx="0">
                  <c:v>Lean 2M EMEA Solvent mPas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EMEA 1'!$A$9:$A$11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1'!$L$9:$L$11</c:f>
              <c:numCache>
                <c:formatCode>0.00</c:formatCode>
                <c:ptCount val="3"/>
                <c:pt idx="0">
                  <c:v>1.6279999999999999</c:v>
                </c:pt>
                <c:pt idx="1">
                  <c:v>1.401</c:v>
                </c:pt>
                <c:pt idx="2">
                  <c:v>1.218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39-457E-9A34-3FABC4848B4E}"/>
            </c:ext>
          </c:extLst>
        </c:ser>
        <c:ser>
          <c:idx val="1"/>
          <c:order val="1"/>
          <c:tx>
            <c:strRef>
              <c:f>'ThermoProperties EMEA 1'!$V$8</c:f>
              <c:strCache>
                <c:ptCount val="1"/>
                <c:pt idx="0">
                  <c:v>Lean 5M EMEA Solvent mPas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EMEA 1'!$S$9:$S$11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1'!$V$9:$V$11</c:f>
              <c:numCache>
                <c:formatCode>General</c:formatCode>
                <c:ptCount val="3"/>
                <c:pt idx="0">
                  <c:v>8.1579999999999995</c:v>
                </c:pt>
                <c:pt idx="1">
                  <c:v>6.4420000000000002</c:v>
                </c:pt>
                <c:pt idx="2">
                  <c:v>5.1959999999999997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39-457E-9A34-3FABC4848B4E}"/>
            </c:ext>
          </c:extLst>
        </c:ser>
        <c:ser>
          <c:idx val="2"/>
          <c:order val="2"/>
          <c:tx>
            <c:strRef>
              <c:f>'ThermoProperties EMEA 1'!$Q$8</c:f>
              <c:strCache>
                <c:ptCount val="1"/>
                <c:pt idx="0">
                  <c:v>Lean 3M EMEA Solvent mPas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EMEA 1'!$N$9:$N$11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1'!$Q$9:$Q$11</c:f>
              <c:numCache>
                <c:formatCode>General</c:formatCode>
                <c:ptCount val="3"/>
                <c:pt idx="0">
                  <c:v>2.742</c:v>
                </c:pt>
                <c:pt idx="1">
                  <c:v>2.2989999999999999</c:v>
                </c:pt>
                <c:pt idx="2">
                  <c:v>1.952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39-457E-9A34-3FABC4848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675151"/>
        <c:axId val="2110671407"/>
      </c:scatterChart>
      <c:valAx>
        <c:axId val="2110675151"/>
        <c:scaling>
          <c:orientation val="minMax"/>
          <c:max val="40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Temperature</a:t>
                </a:r>
                <a:r>
                  <a:rPr lang="en-US" baseline="0"/>
                  <a:t> 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71407"/>
        <c:crosses val="autoZero"/>
        <c:crossBetween val="midCat"/>
        <c:majorUnit val="5"/>
      </c:valAx>
      <c:valAx>
        <c:axId val="2110671407"/>
        <c:scaling>
          <c:orientation val="minMax"/>
          <c:max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Viscosity,</a:t>
                </a:r>
                <a:r>
                  <a:rPr lang="en-US" baseline="0"/>
                  <a:t> mPas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75151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Thermal</a:t>
            </a:r>
            <a:r>
              <a:rPr lang="en-US" baseline="0"/>
              <a:t> Conductivity Profile - Lean AMP Solvent</a:t>
            </a:r>
            <a:endParaRPr lang="en-US"/>
          </a:p>
        </c:rich>
      </c:tx>
      <c:layout>
        <c:manualLayout>
          <c:xMode val="edge"/>
          <c:yMode val="edge"/>
          <c:x val="0.170232634685917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EMEA 1'!$L$14</c:f>
              <c:strCache>
                <c:ptCount val="1"/>
                <c:pt idx="0">
                  <c:v>5M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'ThermoProperties EMEA 1'!$A$16:$A$24</c:f>
              <c:strCache>
                <c:ptCount val="2"/>
                <c:pt idx="0">
                  <c:v>EMEA Loaded</c:v>
                </c:pt>
                <c:pt idx="1">
                  <c:v>EMEA Lean</c:v>
                </c:pt>
              </c:strCache>
            </c:strRef>
          </c:xVal>
          <c:yVal>
            <c:numRef>
              <c:f>'ThermoProperties EMEA 1'!$L$16:$L$24</c:f>
              <c:numCache>
                <c:formatCode>General</c:formatCode>
                <c:ptCount val="9"/>
                <c:pt idx="0">
                  <c:v>0.4</c:v>
                </c:pt>
                <c:pt idx="1">
                  <c:v>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74-4DCF-9E3D-31FDEFCFFE0A}"/>
            </c:ext>
          </c:extLst>
        </c:ser>
        <c:ser>
          <c:idx val="1"/>
          <c:order val="1"/>
          <c:tx>
            <c:strRef>
              <c:f>'ThermoProperties EMEA 1'!$V$15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EMEA 1'!$S$16:$S$24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1'!$V$16:$V$24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74-4DCF-9E3D-31FDEFCFFE0A}"/>
            </c:ext>
          </c:extLst>
        </c:ser>
        <c:ser>
          <c:idx val="2"/>
          <c:order val="2"/>
          <c:tx>
            <c:strRef>
              <c:f>'ThermoProperties EMEA 1'!$Q$15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EMEA 1'!$N$16:$N$24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1'!$Q$16:$Q$24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74-4DCF-9E3D-31FDEFCFF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967935"/>
        <c:axId val="2036964607"/>
      </c:scatterChart>
      <c:valAx>
        <c:axId val="2036967935"/>
        <c:scaling>
          <c:orientation val="minMax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</a:t>
                </a: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964607"/>
        <c:crosses val="autoZero"/>
        <c:crossBetween val="midCat"/>
      </c:valAx>
      <c:valAx>
        <c:axId val="2036964607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Thermal</a:t>
                </a:r>
                <a:r>
                  <a:rPr lang="en-US" baseline="0"/>
                  <a:t> Conductivity Mw/(m*K)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96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Specific</a:t>
            </a:r>
            <a:r>
              <a:rPr lang="en-US" baseline="0"/>
              <a:t> Heat Capacity Profile - PRLD Lean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EMEA 1'!$L$31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EMEA 1'!$A$32:$A$40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1'!$L$32:$L$40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DE-4EC3-ACD6-AA9F63542FB3}"/>
            </c:ext>
          </c:extLst>
        </c:ser>
        <c:ser>
          <c:idx val="1"/>
          <c:order val="1"/>
          <c:tx>
            <c:strRef>
              <c:f>'ThermoProperties EMEA 1'!$V$31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EMEA 1'!$S$32:$S$40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1'!$V$32:$V$40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DE-4EC3-ACD6-AA9F63542FB3}"/>
            </c:ext>
          </c:extLst>
        </c:ser>
        <c:ser>
          <c:idx val="2"/>
          <c:order val="2"/>
          <c:tx>
            <c:strRef>
              <c:f>'ThermoProperties EMEA 1'!$Q$31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EMEA 1'!$N$32:$N$40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1'!$Q$32:$Q$40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DE-4EC3-ACD6-AA9F63542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398607"/>
        <c:axId val="2037392783"/>
      </c:scatterChart>
      <c:valAx>
        <c:axId val="2037398607"/>
        <c:scaling>
          <c:orientation val="minMax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2783"/>
        <c:crosses val="autoZero"/>
        <c:crossBetween val="midCat"/>
      </c:valAx>
      <c:valAx>
        <c:axId val="2037392783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</a:t>
                </a:r>
                <a:r>
                  <a:rPr lang="en-US" baseline="0"/>
                  <a:t> Heat capacity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8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Thermal</a:t>
            </a:r>
            <a:r>
              <a:rPr lang="en-US" baseline="0"/>
              <a:t> Conductivity Profile - 4M PRLD Solvent</a:t>
            </a:r>
            <a:endParaRPr lang="en-US"/>
          </a:p>
        </c:rich>
      </c:tx>
      <c:layout>
        <c:manualLayout>
          <c:xMode val="edge"/>
          <c:yMode val="edge"/>
          <c:x val="0.170232634685917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EMEA 1'!$T$15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EMEA 1'!$S$16:$S$24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1'!$T$16:$T$24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99-484C-9645-D3BD6143A8E2}"/>
            </c:ext>
          </c:extLst>
        </c:ser>
        <c:ser>
          <c:idx val="1"/>
          <c:order val="1"/>
          <c:tx>
            <c:strRef>
              <c:f>'ThermoProperties EMEA 1'!$U$15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EMEA 1'!$S$16:$S$24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1'!$U$16:$U$24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99-484C-9645-D3BD6143A8E2}"/>
            </c:ext>
          </c:extLst>
        </c:ser>
        <c:ser>
          <c:idx val="2"/>
          <c:order val="2"/>
          <c:tx>
            <c:strRef>
              <c:f>'ThermoProperties EMEA 1'!$V$15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EMEA 1'!$S$16:$S$24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1'!$V$16:$V$24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99-484C-9645-D3BD6143A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967935"/>
        <c:axId val="2036964607"/>
      </c:scatterChart>
      <c:valAx>
        <c:axId val="2036967935"/>
        <c:scaling>
          <c:orientation val="minMax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</a:t>
                </a: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964607"/>
        <c:crosses val="autoZero"/>
        <c:crossBetween val="midCat"/>
      </c:valAx>
      <c:valAx>
        <c:axId val="2036964607"/>
        <c:scaling>
          <c:orientation val="minMax"/>
          <c:max val="360"/>
          <c:min val="3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Thermal</a:t>
                </a:r>
                <a:r>
                  <a:rPr lang="en-US" baseline="0"/>
                  <a:t> Conductivity Mw/(m*K)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967935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Specific</a:t>
            </a:r>
            <a:r>
              <a:rPr lang="en-US" baseline="0"/>
              <a:t> Heat Capacity Profile - 2 PRLD FRESH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EMEA 1'!$B$31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EMEA 1'!$A$32:$A$40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1'!$B$32:$B$40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80-49EA-A933-7A99B0F7D5BC}"/>
            </c:ext>
          </c:extLst>
        </c:ser>
        <c:ser>
          <c:idx val="1"/>
          <c:order val="1"/>
          <c:tx>
            <c:strRef>
              <c:f>'ThermoProperties EMEA 1'!$K$31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EMEA 1'!$A$32:$A$40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1'!$K$32:$K$40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80-49EA-A933-7A99B0F7D5BC}"/>
            </c:ext>
          </c:extLst>
        </c:ser>
        <c:ser>
          <c:idx val="2"/>
          <c:order val="2"/>
          <c:tx>
            <c:strRef>
              <c:f>'ThermoProperties EMEA 1'!$L$31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EMEA 1'!$A$32:$A$40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1'!$L$32:$L$40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80-49EA-A933-7A99B0F7D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398607"/>
        <c:axId val="2037392783"/>
      </c:scatterChart>
      <c:valAx>
        <c:axId val="2037398607"/>
        <c:scaling>
          <c:orientation val="minMax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2783"/>
        <c:crosses val="autoZero"/>
        <c:crossBetween val="midCat"/>
      </c:valAx>
      <c:valAx>
        <c:axId val="20373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</a:t>
                </a:r>
                <a:r>
                  <a:rPr lang="en-US" baseline="0"/>
                  <a:t> Heat capacity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8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Specific</a:t>
            </a:r>
            <a:r>
              <a:rPr lang="en-US" baseline="0"/>
              <a:t> Heat Capacity Profile - 3M PRLD Loaded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EMEA 1'!$O$31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EMEA 1'!$N$32:$N$40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1'!$O$32:$O$40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37-4707-B497-0A050CA90480}"/>
            </c:ext>
          </c:extLst>
        </c:ser>
        <c:ser>
          <c:idx val="1"/>
          <c:order val="1"/>
          <c:tx>
            <c:strRef>
              <c:f>'ThermoProperties EMEA 1'!$P$31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EMEA 1'!$N$32:$N$40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1'!$P$32:$P$40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37-4707-B497-0A050CA90480}"/>
            </c:ext>
          </c:extLst>
        </c:ser>
        <c:ser>
          <c:idx val="2"/>
          <c:order val="2"/>
          <c:tx>
            <c:strRef>
              <c:f>'ThermoProperties EMEA 1'!$Q$31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EMEA 1'!$N$32:$N$40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1'!$Q$32:$Q$40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37-4707-B497-0A050CA90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398607"/>
        <c:axId val="2037392783"/>
      </c:scatterChart>
      <c:valAx>
        <c:axId val="2037398607"/>
        <c:scaling>
          <c:orientation val="minMax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2783"/>
        <c:crosses val="autoZero"/>
        <c:crossBetween val="midCat"/>
      </c:valAx>
      <c:valAx>
        <c:axId val="2037392783"/>
        <c:scaling>
          <c:orientation val="minMax"/>
          <c:min val="3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</a:t>
                </a:r>
                <a:r>
                  <a:rPr lang="en-US" baseline="0"/>
                  <a:t> Heat capacity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8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Specific</a:t>
            </a:r>
            <a:r>
              <a:rPr lang="en-US" baseline="0"/>
              <a:t> Heat Capacity Profile - 4M PRLD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EMEA 1'!$T$31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'ThermoProperties EMEA 1'!$S$32:$S$40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1'!$T$32:$T$40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2-44F1-A4FF-9541ABAE69F6}"/>
            </c:ext>
          </c:extLst>
        </c:ser>
        <c:ser>
          <c:idx val="1"/>
          <c:order val="1"/>
          <c:tx>
            <c:strRef>
              <c:f>'ThermoProperties EMEA 1'!$U$31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EMEA 1'!$S$32:$S$40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1'!$U$32:$U$40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42-44F1-A4FF-9541ABAE69F6}"/>
            </c:ext>
          </c:extLst>
        </c:ser>
        <c:ser>
          <c:idx val="2"/>
          <c:order val="2"/>
          <c:tx>
            <c:strRef>
              <c:f>'ThermoProperties EMEA 1'!$V$31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EMEA 1'!$S$32:$S$40</c:f>
              <c:numCache>
                <c:formatCode>General</c:formatCode>
                <c:ptCount val="9"/>
              </c:numCache>
            </c:numRef>
          </c:xVal>
          <c:yVal>
            <c:numRef>
              <c:f>'ThermoProperties EMEA 1'!$V$32:$V$40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42-44F1-A4FF-9541ABAE6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398607"/>
        <c:axId val="2037392783"/>
      </c:scatterChart>
      <c:valAx>
        <c:axId val="2037398607"/>
        <c:scaling>
          <c:orientation val="minMax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2783"/>
        <c:crosses val="autoZero"/>
        <c:crossBetween val="midCat"/>
      </c:valAx>
      <c:valAx>
        <c:axId val="20373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</a:t>
                </a:r>
                <a:r>
                  <a:rPr lang="en-US" baseline="0"/>
                  <a:t> Heat capacity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8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Density</a:t>
            </a:r>
            <a:r>
              <a:rPr lang="en-US" baseline="0"/>
              <a:t> Profile - 2M PRLD Solvent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41741916336006"/>
          <c:y val="0.17928869914821918"/>
          <c:w val="0.74973628164076345"/>
          <c:h val="0.594009998140778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'ThermoProperties EMEA 1'!$B$2</c:f>
              <c:strCache>
                <c:ptCount val="1"/>
                <c:pt idx="0">
                  <c:v>Fresh 2M EMEA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'ThermoProperties EMEA 1'!$A$3:$A$5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1'!$B$3:$B$5</c:f>
              <c:numCache>
                <c:formatCode>0.00</c:formatCode>
                <c:ptCount val="3"/>
                <c:pt idx="0">
                  <c:v>0.99343999999999999</c:v>
                </c:pt>
                <c:pt idx="1">
                  <c:v>0.99112999999999996</c:v>
                </c:pt>
                <c:pt idx="2">
                  <c:v>0.98855000000000004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72-4209-BB3D-A55C157B0675}"/>
            </c:ext>
          </c:extLst>
        </c:ser>
        <c:ser>
          <c:idx val="1"/>
          <c:order val="1"/>
          <c:tx>
            <c:strRef>
              <c:f>'ThermoProperties EMEA 1'!$K$2</c:f>
              <c:strCache>
                <c:ptCount val="1"/>
                <c:pt idx="0">
                  <c:v>Loaded 2M EMEA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EMEA 1'!$A$3:$A$5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1'!$K$3:$K$5</c:f>
              <c:numCache>
                <c:formatCode>0.0000</c:formatCode>
                <c:ptCount val="3"/>
                <c:pt idx="0">
                  <c:v>1.0466899999999999</c:v>
                </c:pt>
                <c:pt idx="1">
                  <c:v>1.0441800000000001</c:v>
                </c:pt>
                <c:pt idx="2">
                  <c:v>1.04149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72-4209-BB3D-A55C157B0675}"/>
            </c:ext>
          </c:extLst>
        </c:ser>
        <c:ser>
          <c:idx val="2"/>
          <c:order val="2"/>
          <c:tx>
            <c:strRef>
              <c:f>'ThermoProperties EMEA 1'!$L$2</c:f>
              <c:strCache>
                <c:ptCount val="1"/>
                <c:pt idx="0">
                  <c:v>Lean 2M EMEA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EMEA 1'!$A$3:$A$5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1'!$L$3:$L$5</c:f>
              <c:numCache>
                <c:formatCode>General</c:formatCode>
                <c:ptCount val="3"/>
                <c:pt idx="0">
                  <c:v>1.0303500000000001</c:v>
                </c:pt>
                <c:pt idx="1">
                  <c:v>1.0277700000000001</c:v>
                </c:pt>
                <c:pt idx="2">
                  <c:v>1.02501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72-4209-BB3D-A55C157B0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495247"/>
        <c:axId val="1945495663"/>
      </c:scatterChart>
      <c:valAx>
        <c:axId val="1945495247"/>
        <c:scaling>
          <c:orientation val="minMax"/>
          <c:max val="4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092803622080271"/>
              <c:y val="0.82747595098649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5663"/>
        <c:crosses val="autoZero"/>
        <c:crossBetween val="midCat"/>
      </c:valAx>
      <c:valAx>
        <c:axId val="1945495663"/>
        <c:scaling>
          <c:orientation val="minMax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</a:t>
                </a:r>
                <a:r>
                  <a:rPr lang="en-US" baseline="0"/>
                  <a:t> g/cm</a:t>
                </a:r>
                <a:r>
                  <a:rPr lang="en-US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ᶟ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802365283871482E-2"/>
          <c:y val="0.8731252856181837"/>
          <c:w val="0.80509646608695051"/>
          <c:h val="0.103980191731111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Density</a:t>
            </a:r>
            <a:r>
              <a:rPr lang="en-US" baseline="0"/>
              <a:t> Profile - 3M PRLD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EMEA 1'!$O$2</c:f>
              <c:strCache>
                <c:ptCount val="1"/>
                <c:pt idx="0">
                  <c:v>Fresh 3M EMEA 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'ThermoProperties EMEA 1'!$N$3:$N$5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1'!$O$3:$O$5</c:f>
              <c:numCache>
                <c:formatCode>0.00</c:formatCode>
                <c:ptCount val="3"/>
                <c:pt idx="0">
                  <c:v>0.99185999999999996</c:v>
                </c:pt>
                <c:pt idx="1">
                  <c:v>0.98912</c:v>
                </c:pt>
                <c:pt idx="2">
                  <c:v>0.98619999999999997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D-47F2-8815-F265F5D6936D}"/>
            </c:ext>
          </c:extLst>
        </c:ser>
        <c:ser>
          <c:idx val="1"/>
          <c:order val="1"/>
          <c:tx>
            <c:strRef>
              <c:f>'ThermoProperties EMEA 1'!$P$2</c:f>
              <c:strCache>
                <c:ptCount val="1"/>
                <c:pt idx="0">
                  <c:v>Loaded 3M EMEA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EMEA 1'!$N$3:$N$5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1'!$P$3:$P$5</c:f>
              <c:numCache>
                <c:formatCode>General</c:formatCode>
                <c:ptCount val="3"/>
                <c:pt idx="0">
                  <c:v>1.06593</c:v>
                </c:pt>
                <c:pt idx="1">
                  <c:v>1.0629200000000001</c:v>
                </c:pt>
                <c:pt idx="2">
                  <c:v>1.0598099999999999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D-47F2-8815-F265F5D6936D}"/>
            </c:ext>
          </c:extLst>
        </c:ser>
        <c:ser>
          <c:idx val="2"/>
          <c:order val="2"/>
          <c:tx>
            <c:strRef>
              <c:f>'ThermoProperties EMEA 1'!$Q$2</c:f>
              <c:strCache>
                <c:ptCount val="1"/>
                <c:pt idx="0">
                  <c:v>Lean 3M EMEA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EMEA 1'!$N$3:$N$5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1'!$Q$3:$Q$5</c:f>
              <c:numCache>
                <c:formatCode>General</c:formatCode>
                <c:ptCount val="3"/>
                <c:pt idx="0">
                  <c:v>1.04433</c:v>
                </c:pt>
                <c:pt idx="1">
                  <c:v>1.0413300000000001</c:v>
                </c:pt>
                <c:pt idx="2">
                  <c:v>1.0382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D-47F2-8815-F265F5D69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495247"/>
        <c:axId val="1945495663"/>
      </c:scatterChart>
      <c:valAx>
        <c:axId val="1945495247"/>
        <c:scaling>
          <c:orientation val="minMax"/>
          <c:max val="4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5663"/>
        <c:crosses val="autoZero"/>
        <c:crossBetween val="midCat"/>
      </c:valAx>
      <c:valAx>
        <c:axId val="1945495663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</a:t>
                </a:r>
                <a:r>
                  <a:rPr lang="en-US" baseline="0"/>
                  <a:t> g/cm</a:t>
                </a:r>
                <a:r>
                  <a:rPr lang="en-US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ᶟ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Density</a:t>
            </a:r>
            <a:r>
              <a:rPr lang="en-US" baseline="0"/>
              <a:t> Profile - 4M PRLD Solvent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'ThermoProperties EMEA 1'!$T$2</c:f>
              <c:strCache>
                <c:ptCount val="1"/>
                <c:pt idx="0">
                  <c:v>Fresh 5M EMEA 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'ThermoProperties EMEA 1'!$S$3:$S$5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1'!$T$3:$T$5</c:f>
              <c:numCache>
                <c:formatCode>0.00</c:formatCode>
                <c:ptCount val="3"/>
                <c:pt idx="0">
                  <c:v>0.98477999999999999</c:v>
                </c:pt>
                <c:pt idx="1">
                  <c:v>0.98111999999999999</c:v>
                </c:pt>
                <c:pt idx="2">
                  <c:v>0.97740000000000005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82-48A0-9364-F1D9CF5D091A}"/>
            </c:ext>
          </c:extLst>
        </c:ser>
        <c:ser>
          <c:idx val="1"/>
          <c:order val="1"/>
          <c:tx>
            <c:strRef>
              <c:f>'ThermoProperties EMEA 1'!$U$2</c:f>
              <c:strCache>
                <c:ptCount val="1"/>
                <c:pt idx="0">
                  <c:v>Loaded 5M EMEA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'ThermoProperties EMEA 1'!$S$3:$S$5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1'!$U$3:$U$5</c:f>
              <c:numCache>
                <c:formatCode>General</c:formatCode>
                <c:ptCount val="3"/>
                <c:pt idx="0">
                  <c:v>1.0898099999999999</c:v>
                </c:pt>
                <c:pt idx="1">
                  <c:v>1.08636</c:v>
                </c:pt>
                <c:pt idx="2">
                  <c:v>1.0828800000000001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82-48A0-9364-F1D9CF5D091A}"/>
            </c:ext>
          </c:extLst>
        </c:ser>
        <c:ser>
          <c:idx val="2"/>
          <c:order val="2"/>
          <c:tx>
            <c:strRef>
              <c:f>'ThermoProperties EMEA 1'!$V$2</c:f>
              <c:strCache>
                <c:ptCount val="1"/>
                <c:pt idx="0">
                  <c:v>Lean 5M EMEA  Solvent g/cm3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'ThermoProperties EMEA 1'!$S$3:$S$5</c:f>
              <c:numCache>
                <c:formatCode>General</c:formatCod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numCache>
            </c:numRef>
          </c:xVal>
          <c:yVal>
            <c:numRef>
              <c:f>'ThermoProperties EMEA 1'!$V$3:$V$5</c:f>
              <c:numCache>
                <c:formatCode>General</c:formatCode>
                <c:ptCount val="3"/>
                <c:pt idx="0">
                  <c:v>1.0461100000000001</c:v>
                </c:pt>
                <c:pt idx="1">
                  <c:v>1.0426500000000001</c:v>
                </c:pt>
                <c:pt idx="2">
                  <c:v>1.0391300000000001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82-48A0-9364-F1D9CF5D0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495247"/>
        <c:axId val="1945495663"/>
      </c:scatterChart>
      <c:valAx>
        <c:axId val="1945495247"/>
        <c:scaling>
          <c:orientation val="minMax"/>
          <c:max val="4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5663"/>
        <c:crosses val="autoZero"/>
        <c:crossBetween val="midCat"/>
      </c:valAx>
      <c:valAx>
        <c:axId val="194549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</a:t>
                </a:r>
                <a:r>
                  <a:rPr lang="en-US" baseline="0"/>
                  <a:t> g/cm</a:t>
                </a:r>
                <a:r>
                  <a:rPr lang="en-US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ᶟ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EMEA!$E$3</c:f>
              <c:strCache>
                <c:ptCount val="1"/>
                <c:pt idx="0">
                  <c:v>Specific Heat Capacity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0923425196850393"/>
                  <c:y val="-3.74537037037037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EMEA!$A$4:$A$13</c:f>
              <c:numCache>
                <c:formatCode>General</c:formatCode>
                <c:ptCount val="10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</c:numCache>
            </c:numRef>
          </c:xVal>
          <c:yVal>
            <c:numRef>
              <c:f>EMEA!$E$4:$E$13</c:f>
              <c:numCache>
                <c:formatCode>General</c:formatCode>
                <c:ptCount val="10"/>
                <c:pt idx="0">
                  <c:v>3.36</c:v>
                </c:pt>
                <c:pt idx="1">
                  <c:v>3.4</c:v>
                </c:pt>
                <c:pt idx="2">
                  <c:v>3.44</c:v>
                </c:pt>
                <c:pt idx="3">
                  <c:v>3.4850000000000003</c:v>
                </c:pt>
                <c:pt idx="4">
                  <c:v>3.53</c:v>
                </c:pt>
                <c:pt idx="5">
                  <c:v>3.57</c:v>
                </c:pt>
                <c:pt idx="6">
                  <c:v>3.61</c:v>
                </c:pt>
                <c:pt idx="7">
                  <c:v>3.65</c:v>
                </c:pt>
                <c:pt idx="8">
                  <c:v>3.68</c:v>
                </c:pt>
                <c:pt idx="9">
                  <c:v>3.72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56F-463D-B246-EAF042729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327679"/>
        <c:axId val="897326719"/>
      </c:scatterChart>
      <c:valAx>
        <c:axId val="89732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326719"/>
        <c:crosses val="autoZero"/>
        <c:crossBetween val="midCat"/>
      </c:valAx>
      <c:valAx>
        <c:axId val="8973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327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26458</xdr:colOff>
      <xdr:row>13</xdr:row>
      <xdr:rowOff>243241</xdr:rowOff>
    </xdr:from>
    <xdr:to>
      <xdr:col>30</xdr:col>
      <xdr:colOff>642937</xdr:colOff>
      <xdr:row>28</xdr:row>
      <xdr:rowOff>164218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DC50D-8001-48B2-82CB-1C3BF1DC5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93487</xdr:colOff>
      <xdr:row>32</xdr:row>
      <xdr:rowOff>13052</xdr:rowOff>
    </xdr:from>
    <xdr:to>
      <xdr:col>32</xdr:col>
      <xdr:colOff>178153</xdr:colOff>
      <xdr:row>47</xdr:row>
      <xdr:rowOff>108655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F01865-D685-46BA-A8B8-B3A2B89A9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351266</xdr:colOff>
      <xdr:row>49</xdr:row>
      <xdr:rowOff>80460</xdr:rowOff>
    </xdr:from>
    <xdr:to>
      <xdr:col>28</xdr:col>
      <xdr:colOff>395262</xdr:colOff>
      <xdr:row>65</xdr:row>
      <xdr:rowOff>1438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AD9702-4521-4B85-BEBD-B5717F95E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634999</xdr:colOff>
      <xdr:row>0</xdr:row>
      <xdr:rowOff>0</xdr:rowOff>
    </xdr:from>
    <xdr:to>
      <xdr:col>30</xdr:col>
      <xdr:colOff>595311</xdr:colOff>
      <xdr:row>13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E9CCA4-F149-4732-96DA-CE9F194ED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200024</xdr:colOff>
      <xdr:row>0</xdr:row>
      <xdr:rowOff>33337</xdr:rowOff>
    </xdr:from>
    <xdr:to>
      <xdr:col>38</xdr:col>
      <xdr:colOff>160336</xdr:colOff>
      <xdr:row>13</xdr:row>
      <xdr:rowOff>141287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FBC9EB-3AD5-49B1-8B54-873AD43E5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407986</xdr:colOff>
      <xdr:row>1</xdr:row>
      <xdr:rowOff>66675</xdr:rowOff>
    </xdr:from>
    <xdr:to>
      <xdr:col>45</xdr:col>
      <xdr:colOff>368299</xdr:colOff>
      <xdr:row>13</xdr:row>
      <xdr:rowOff>349250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C94B56-558D-4442-A288-F61A84A90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186796</xdr:colOff>
      <xdr:row>13</xdr:row>
      <xdr:rowOff>355953</xdr:rowOff>
    </xdr:from>
    <xdr:to>
      <xdr:col>38</xdr:col>
      <xdr:colOff>144462</xdr:colOff>
      <xdr:row>29</xdr:row>
      <xdr:rowOff>102305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5E26A5-B79A-4FCA-9590-7A3DB59F2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12624</xdr:colOff>
      <xdr:row>13</xdr:row>
      <xdr:rowOff>526496</xdr:rowOff>
    </xdr:from>
    <xdr:to>
      <xdr:col>45</xdr:col>
      <xdr:colOff>632505</xdr:colOff>
      <xdr:row>29</xdr:row>
      <xdr:rowOff>272848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6BC609-BFCA-4A4F-911D-83C4DCA4B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345672</xdr:colOff>
      <xdr:row>31</xdr:row>
      <xdr:rowOff>156380</xdr:rowOff>
    </xdr:from>
    <xdr:to>
      <xdr:col>40</xdr:col>
      <xdr:colOff>430339</xdr:colOff>
      <xdr:row>47</xdr:row>
      <xdr:rowOff>70555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BA3927E-AB66-4772-B2B8-945B5E5DA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41</xdr:col>
      <xdr:colOff>153359</xdr:colOff>
      <xdr:row>31</xdr:row>
      <xdr:rowOff>163638</xdr:rowOff>
    </xdr:from>
    <xdr:to>
      <xdr:col>49</xdr:col>
      <xdr:colOff>238025</xdr:colOff>
      <xdr:row>47</xdr:row>
      <xdr:rowOff>77813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2533FE0-A5D0-4219-A0D3-5242D4A24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521808</xdr:colOff>
      <xdr:row>48</xdr:row>
      <xdr:rowOff>114931</xdr:rowOff>
    </xdr:from>
    <xdr:to>
      <xdr:col>34</xdr:col>
      <xdr:colOff>565805</xdr:colOff>
      <xdr:row>64</xdr:row>
      <xdr:rowOff>35909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DB206D4-E6EB-497B-9E66-5B54707BC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37</xdr:col>
      <xdr:colOff>157137</xdr:colOff>
      <xdr:row>48</xdr:row>
      <xdr:rowOff>76831</xdr:rowOff>
    </xdr:from>
    <xdr:to>
      <xdr:col>42</xdr:col>
      <xdr:colOff>201133</xdr:colOff>
      <xdr:row>63</xdr:row>
      <xdr:rowOff>179238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B0EBA39-7080-4BFC-B343-F0B968D2C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407986</xdr:colOff>
      <xdr:row>1</xdr:row>
      <xdr:rowOff>66675</xdr:rowOff>
    </xdr:from>
    <xdr:to>
      <xdr:col>45</xdr:col>
      <xdr:colOff>368299</xdr:colOff>
      <xdr:row>14</xdr:row>
      <xdr:rowOff>349250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88E2CD-49A9-4235-9972-BE91C00E1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12624</xdr:colOff>
      <xdr:row>14</xdr:row>
      <xdr:rowOff>526496</xdr:rowOff>
    </xdr:from>
    <xdr:to>
      <xdr:col>45</xdr:col>
      <xdr:colOff>632505</xdr:colOff>
      <xdr:row>30</xdr:row>
      <xdr:rowOff>272848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E7A4D25-6B47-48FB-AB71-481427F73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153359</xdr:colOff>
      <xdr:row>32</xdr:row>
      <xdr:rowOff>163638</xdr:rowOff>
    </xdr:from>
    <xdr:to>
      <xdr:col>49</xdr:col>
      <xdr:colOff>238025</xdr:colOff>
      <xdr:row>48</xdr:row>
      <xdr:rowOff>77813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EF67A78-9808-49F6-812D-5775FA9C2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157137</xdr:colOff>
      <xdr:row>49</xdr:row>
      <xdr:rowOff>76831</xdr:rowOff>
    </xdr:from>
    <xdr:to>
      <xdr:col>42</xdr:col>
      <xdr:colOff>201133</xdr:colOff>
      <xdr:row>64</xdr:row>
      <xdr:rowOff>179238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3CDA30B-C7B6-4815-8809-AD52DE16A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63</xdr:row>
      <xdr:rowOff>0</xdr:rowOff>
    </xdr:from>
    <xdr:to>
      <xdr:col>15</xdr:col>
      <xdr:colOff>380999</xdr:colOff>
      <xdr:row>78</xdr:row>
      <xdr:rowOff>95603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C6828E1-94F3-4561-93C9-6579D60B4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82</xdr:row>
      <xdr:rowOff>0</xdr:rowOff>
    </xdr:from>
    <xdr:to>
      <xdr:col>12</xdr:col>
      <xdr:colOff>583747</xdr:colOff>
      <xdr:row>97</xdr:row>
      <xdr:rowOff>100894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A368A4D-1096-46FF-8F07-B1DD42EBF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63</xdr:row>
      <xdr:rowOff>0</xdr:rowOff>
    </xdr:from>
    <xdr:to>
      <xdr:col>21</xdr:col>
      <xdr:colOff>264583</xdr:colOff>
      <xdr:row>78</xdr:row>
      <xdr:rowOff>100895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928591C-7B90-41BC-8DB4-AA1319BF0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83</xdr:row>
      <xdr:rowOff>0</xdr:rowOff>
    </xdr:from>
    <xdr:to>
      <xdr:col>20</xdr:col>
      <xdr:colOff>488496</xdr:colOff>
      <xdr:row>98</xdr:row>
      <xdr:rowOff>102407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D6DDB4C-DF6C-44E3-BCA2-E6B5394AE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48</xdr:col>
      <xdr:colOff>0</xdr:colOff>
      <xdr:row>1</xdr:row>
      <xdr:rowOff>0</xdr:rowOff>
    </xdr:from>
    <xdr:to>
      <xdr:col>54</xdr:col>
      <xdr:colOff>616479</xdr:colOff>
      <xdr:row>14</xdr:row>
      <xdr:rowOff>287867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EDE748F-0E34-493A-81D3-20F021480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57</xdr:col>
      <xdr:colOff>0</xdr:colOff>
      <xdr:row>1</xdr:row>
      <xdr:rowOff>0</xdr:rowOff>
    </xdr:from>
    <xdr:to>
      <xdr:col>63</xdr:col>
      <xdr:colOff>616478</xdr:colOff>
      <xdr:row>14</xdr:row>
      <xdr:rowOff>287867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ED53355-9345-4886-A2FD-971F95487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66</xdr:col>
      <xdr:colOff>0</xdr:colOff>
      <xdr:row>1</xdr:row>
      <xdr:rowOff>0</xdr:rowOff>
    </xdr:from>
    <xdr:to>
      <xdr:col>72</xdr:col>
      <xdr:colOff>616480</xdr:colOff>
      <xdr:row>14</xdr:row>
      <xdr:rowOff>282575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0FCCB9E-6587-40AB-A362-F4FB91A88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647700</xdr:colOff>
      <xdr:row>0</xdr:row>
      <xdr:rowOff>142875</xdr:rowOff>
    </xdr:from>
    <xdr:to>
      <xdr:col>13</xdr:col>
      <xdr:colOff>311150</xdr:colOff>
      <xdr:row>14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B5E8F-1135-7959-3074-8BC808B2B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F02C-3D18-4A34-BED5-1FFE71B643E6}">
  <dimension ref="A1:V48"/>
  <sheetViews>
    <sheetView topLeftCell="A20" zoomScale="70" zoomScaleNormal="70" workbookViewId="0">
      <selection activeCell="V31" sqref="V31:V39"/>
    </sheetView>
  </sheetViews>
  <sheetFormatPr defaultRowHeight="14.5" x14ac:dyDescent="0.35"/>
  <cols>
    <col min="1" max="1" width="11.453125" customWidth="1"/>
    <col min="2" max="2" width="12" customWidth="1"/>
    <col min="3" max="7" width="0" hidden="1" customWidth="1"/>
    <col min="8" max="8" width="13.453125" hidden="1" customWidth="1"/>
    <col min="9" max="9" width="15.7265625" hidden="1" customWidth="1"/>
    <col min="10" max="10" width="16.08984375" hidden="1" customWidth="1"/>
    <col min="11" max="11" width="13.453125" customWidth="1"/>
    <col min="12" max="12" width="10.54296875" customWidth="1"/>
    <col min="14" max="14" width="10.7265625" customWidth="1"/>
    <col min="15" max="15" width="9.7265625" customWidth="1"/>
    <col min="16" max="16" width="11" customWidth="1"/>
    <col min="17" max="17" width="9.54296875" customWidth="1"/>
    <col min="18" max="18" width="7.453125" customWidth="1"/>
    <col min="20" max="20" width="8.90625" customWidth="1"/>
    <col min="21" max="21" width="9.1796875" customWidth="1"/>
    <col min="22" max="22" width="9.90625" customWidth="1"/>
  </cols>
  <sheetData>
    <row r="1" spans="1:22" x14ac:dyDescent="0.35"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7"/>
    </row>
    <row r="2" spans="1:22" ht="39.5" customHeight="1" x14ac:dyDescent="0.35">
      <c r="A2" s="26" t="s">
        <v>1</v>
      </c>
      <c r="B2" s="27" t="s">
        <v>40</v>
      </c>
      <c r="C2" s="26"/>
      <c r="D2" s="26"/>
      <c r="E2" s="26"/>
      <c r="F2" s="26"/>
      <c r="G2" s="26"/>
      <c r="H2" s="26"/>
      <c r="I2" s="26"/>
      <c r="J2" s="26"/>
      <c r="K2" s="27" t="s">
        <v>41</v>
      </c>
      <c r="L2" s="27" t="s">
        <v>42</v>
      </c>
      <c r="N2" s="26" t="s">
        <v>1</v>
      </c>
      <c r="O2" s="27" t="s">
        <v>43</v>
      </c>
      <c r="P2" s="28" t="s">
        <v>44</v>
      </c>
      <c r="Q2" s="27" t="s">
        <v>45</v>
      </c>
      <c r="S2" s="29" t="s">
        <v>1</v>
      </c>
      <c r="T2" s="30" t="s">
        <v>46</v>
      </c>
      <c r="U2" s="31" t="s">
        <v>47</v>
      </c>
      <c r="V2" s="30" t="s">
        <v>48</v>
      </c>
    </row>
    <row r="3" spans="1:22" x14ac:dyDescent="0.35">
      <c r="A3" s="6">
        <v>30</v>
      </c>
      <c r="B3" s="6">
        <v>1.01196</v>
      </c>
      <c r="C3" s="6"/>
      <c r="D3" s="6"/>
      <c r="E3" s="6"/>
      <c r="F3" s="6"/>
      <c r="G3" s="6"/>
      <c r="H3" s="6"/>
      <c r="I3" s="6"/>
      <c r="J3" s="8"/>
      <c r="K3" s="6">
        <v>1.1102700000000001</v>
      </c>
      <c r="L3" s="6">
        <v>1.0954699999999999</v>
      </c>
      <c r="N3" s="6">
        <v>30</v>
      </c>
      <c r="O3" s="6">
        <v>1.0037199999999999</v>
      </c>
      <c r="P3" s="6">
        <v>1.0696600000000001</v>
      </c>
      <c r="Q3" s="6">
        <v>1.0577000000000001</v>
      </c>
      <c r="S3" s="6">
        <v>30</v>
      </c>
      <c r="T3" s="6">
        <v>0.99885000000000002</v>
      </c>
      <c r="U3" s="6">
        <v>1.0235799999999999</v>
      </c>
      <c r="V3" s="6">
        <v>1.01684</v>
      </c>
    </row>
    <row r="4" spans="1:22" x14ac:dyDescent="0.35">
      <c r="A4" s="6">
        <v>35</v>
      </c>
      <c r="B4" s="6">
        <v>1.0095499999999999</v>
      </c>
      <c r="C4" s="6"/>
      <c r="D4" s="6"/>
      <c r="E4" s="6"/>
      <c r="F4" s="6"/>
      <c r="G4" s="6"/>
      <c r="H4" s="6"/>
      <c r="I4" s="6"/>
      <c r="J4" s="8"/>
      <c r="K4" s="6">
        <v>1.10782</v>
      </c>
      <c r="L4" s="6">
        <v>1.0930500000000001</v>
      </c>
      <c r="N4" s="6">
        <v>35</v>
      </c>
      <c r="O4" s="6">
        <v>1.0017</v>
      </c>
      <c r="P4" s="6">
        <v>1.0674399999999999</v>
      </c>
      <c r="Q4" s="6">
        <v>1.0555399999999999</v>
      </c>
      <c r="S4" s="6">
        <v>35</v>
      </c>
      <c r="T4" s="6">
        <v>0.99712999999999996</v>
      </c>
      <c r="U4" s="6">
        <v>1.02172</v>
      </c>
      <c r="V4" s="6">
        <v>1.0149999999999999</v>
      </c>
    </row>
    <row r="5" spans="1:22" x14ac:dyDescent="0.35">
      <c r="A5" s="6">
        <v>40</v>
      </c>
      <c r="B5" s="6">
        <v>1.00701</v>
      </c>
      <c r="C5" s="6"/>
      <c r="D5" s="6"/>
      <c r="E5" s="6"/>
      <c r="F5" s="6"/>
      <c r="G5" s="6"/>
      <c r="H5" s="6"/>
      <c r="I5" s="6"/>
      <c r="J5" s="8"/>
      <c r="K5" s="6">
        <v>1.1052999999999999</v>
      </c>
      <c r="L5" s="6">
        <v>1.0905499999999999</v>
      </c>
      <c r="N5" s="6">
        <v>40</v>
      </c>
      <c r="O5" s="6">
        <v>0.99963000000000002</v>
      </c>
      <c r="P5" s="6">
        <v>1.0651200000000001</v>
      </c>
      <c r="Q5" s="6">
        <v>1.0532600000000001</v>
      </c>
      <c r="S5" s="6">
        <v>40</v>
      </c>
      <c r="T5" s="6">
        <v>0.99522999999999995</v>
      </c>
      <c r="U5" s="6">
        <v>1.0197000000000001</v>
      </c>
      <c r="V5" s="6">
        <v>1.0129999999999999</v>
      </c>
    </row>
    <row r="6" spans="1:22" x14ac:dyDescent="0.35">
      <c r="J6" s="1"/>
    </row>
    <row r="7" spans="1:22" x14ac:dyDescent="0.35">
      <c r="A7" s="47" t="s">
        <v>11</v>
      </c>
      <c r="B7" s="47"/>
      <c r="C7" s="47"/>
      <c r="D7" s="47"/>
      <c r="E7" s="47"/>
      <c r="F7" s="47"/>
      <c r="G7" s="47"/>
      <c r="H7" s="47"/>
      <c r="I7" s="47"/>
      <c r="J7" s="47"/>
      <c r="K7" s="47"/>
    </row>
    <row r="8" spans="1:22" ht="52" customHeight="1" x14ac:dyDescent="0.35">
      <c r="A8" s="26" t="s">
        <v>1</v>
      </c>
      <c r="B8" s="27" t="s">
        <v>49</v>
      </c>
      <c r="C8" s="26"/>
      <c r="D8" s="26"/>
      <c r="E8" s="26"/>
      <c r="F8" s="26"/>
      <c r="G8" s="26"/>
      <c r="H8" s="26"/>
      <c r="I8" s="26"/>
      <c r="J8" s="26"/>
      <c r="K8" s="27" t="s">
        <v>50</v>
      </c>
      <c r="L8" s="31" t="s">
        <v>51</v>
      </c>
      <c r="N8" s="26" t="s">
        <v>1</v>
      </c>
      <c r="O8" s="27" t="s">
        <v>52</v>
      </c>
      <c r="P8" s="27" t="s">
        <v>53</v>
      </c>
      <c r="Q8" s="27" t="s">
        <v>54</v>
      </c>
      <c r="S8" s="26" t="s">
        <v>1</v>
      </c>
      <c r="T8" s="27" t="s">
        <v>55</v>
      </c>
      <c r="U8" s="27" t="s">
        <v>56</v>
      </c>
      <c r="V8" s="27" t="s">
        <v>57</v>
      </c>
    </row>
    <row r="9" spans="1:22" x14ac:dyDescent="0.35">
      <c r="A9" s="6">
        <v>30</v>
      </c>
      <c r="B9" s="7">
        <v>2.173</v>
      </c>
      <c r="C9" s="7"/>
      <c r="D9" s="7"/>
      <c r="E9" s="7"/>
      <c r="F9" s="7"/>
      <c r="G9" s="7"/>
      <c r="H9" s="7"/>
      <c r="I9" s="7"/>
      <c r="J9" s="13"/>
      <c r="K9" s="7">
        <f>(3.213+3.252)/2</f>
        <v>3.2324999999999999</v>
      </c>
      <c r="L9" s="7">
        <v>3.1909999999999998</v>
      </c>
      <c r="N9" s="6">
        <v>30</v>
      </c>
      <c r="O9" s="6">
        <v>1.3919999999999999</v>
      </c>
      <c r="P9" s="6">
        <v>1.748</v>
      </c>
      <c r="Q9" s="6">
        <v>1.6970000000000001</v>
      </c>
      <c r="S9" s="6">
        <v>30</v>
      </c>
      <c r="T9" s="6">
        <v>0.79600000000000004</v>
      </c>
      <c r="U9" s="6">
        <v>0.85199999999999998</v>
      </c>
      <c r="V9" s="6">
        <v>0.84499999999999997</v>
      </c>
    </row>
    <row r="10" spans="1:22" x14ac:dyDescent="0.35">
      <c r="A10" s="6">
        <v>35</v>
      </c>
      <c r="B10" s="7">
        <v>1.8680000000000001</v>
      </c>
      <c r="C10" s="7"/>
      <c r="D10" s="7"/>
      <c r="E10" s="7"/>
      <c r="F10" s="7"/>
      <c r="G10" s="7"/>
      <c r="H10" s="7"/>
      <c r="I10" s="7"/>
      <c r="J10" s="13"/>
      <c r="K10" s="7">
        <f>2.788</f>
        <v>2.7879999999999998</v>
      </c>
      <c r="L10" s="7">
        <v>2.762</v>
      </c>
      <c r="N10" s="6">
        <v>35</v>
      </c>
      <c r="O10" s="6">
        <v>1.218</v>
      </c>
      <c r="P10" s="6">
        <v>1.538</v>
      </c>
      <c r="Q10" s="6">
        <v>1.494</v>
      </c>
      <c r="S10" s="6">
        <v>35</v>
      </c>
      <c r="T10" s="6">
        <v>0.70899999999999996</v>
      </c>
      <c r="U10" s="6">
        <v>0.76</v>
      </c>
      <c r="V10" s="6">
        <v>0.753</v>
      </c>
    </row>
    <row r="11" spans="1:22" x14ac:dyDescent="0.35">
      <c r="A11" s="6">
        <v>40</v>
      </c>
      <c r="B11" s="7">
        <v>1.625</v>
      </c>
      <c r="C11" s="7"/>
      <c r="D11" s="7"/>
      <c r="E11" s="7"/>
      <c r="F11" s="7"/>
      <c r="G11" s="7"/>
      <c r="H11" s="7"/>
      <c r="I11" s="7"/>
      <c r="J11" s="13"/>
      <c r="K11" s="7">
        <f>(2.384+2.432)/2</f>
        <v>2.4079999999999999</v>
      </c>
      <c r="L11" s="7">
        <v>2.407</v>
      </c>
      <c r="N11" s="6">
        <v>40</v>
      </c>
      <c r="O11" s="6">
        <v>1.0780000000000001</v>
      </c>
      <c r="P11" s="6">
        <v>1.365</v>
      </c>
      <c r="Q11" s="6">
        <v>1.325</v>
      </c>
      <c r="S11" s="6">
        <v>40</v>
      </c>
      <c r="T11" s="6">
        <v>0.63800000000000001</v>
      </c>
      <c r="U11" s="6">
        <v>0.68500000000000005</v>
      </c>
      <c r="V11" s="6">
        <v>0.67900000000000005</v>
      </c>
    </row>
    <row r="12" spans="1:22" x14ac:dyDescent="0.35">
      <c r="J12" s="1"/>
    </row>
    <row r="13" spans="1:22" x14ac:dyDescent="0.35">
      <c r="A13" s="47" t="s">
        <v>21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</row>
    <row r="14" spans="1:22" ht="72.5" x14ac:dyDescent="0.35">
      <c r="A14" s="26" t="s">
        <v>1</v>
      </c>
      <c r="B14" s="27" t="s">
        <v>58</v>
      </c>
      <c r="C14" s="26"/>
      <c r="D14" s="26"/>
      <c r="E14" s="26"/>
      <c r="F14" s="26"/>
      <c r="G14" s="26"/>
      <c r="H14" s="26"/>
      <c r="I14" s="26"/>
      <c r="J14" s="26"/>
      <c r="K14" s="27" t="s">
        <v>59</v>
      </c>
      <c r="L14" s="31" t="s">
        <v>60</v>
      </c>
      <c r="N14" s="26" t="s">
        <v>1</v>
      </c>
      <c r="O14" s="31" t="s">
        <v>61</v>
      </c>
      <c r="P14" s="31" t="s">
        <v>62</v>
      </c>
      <c r="Q14" s="31" t="s">
        <v>63</v>
      </c>
      <c r="S14" s="26" t="s">
        <v>1</v>
      </c>
      <c r="T14" s="31" t="s">
        <v>64</v>
      </c>
      <c r="U14" s="31" t="s">
        <v>65</v>
      </c>
      <c r="V14" s="31" t="s">
        <v>66</v>
      </c>
    </row>
    <row r="15" spans="1:22" x14ac:dyDescent="0.35">
      <c r="A15" s="6">
        <v>30</v>
      </c>
      <c r="B15" s="6">
        <v>462.9</v>
      </c>
      <c r="C15" s="6"/>
      <c r="D15" s="6"/>
      <c r="E15" s="6"/>
      <c r="F15" s="6"/>
      <c r="G15" s="6"/>
      <c r="H15" s="6"/>
      <c r="I15" s="6"/>
      <c r="J15" s="8"/>
      <c r="K15" s="6">
        <v>475.6</v>
      </c>
      <c r="L15" s="6">
        <v>469.62</v>
      </c>
      <c r="N15" s="6">
        <v>30</v>
      </c>
      <c r="O15" s="6">
        <v>516.4</v>
      </c>
      <c r="P15" s="6">
        <v>529.6</v>
      </c>
      <c r="Q15" s="6">
        <v>528.45000000000005</v>
      </c>
      <c r="S15" s="6">
        <v>30</v>
      </c>
      <c r="T15" s="6">
        <v>572.79999999999995</v>
      </c>
      <c r="U15" s="6">
        <v>584.6</v>
      </c>
      <c r="V15" s="6">
        <v>580.65</v>
      </c>
    </row>
    <row r="16" spans="1:22" x14ac:dyDescent="0.35">
      <c r="A16" s="6">
        <v>35</v>
      </c>
      <c r="B16" s="6">
        <v>466.8</v>
      </c>
      <c r="C16" s="6"/>
      <c r="D16" s="6"/>
      <c r="E16" s="6"/>
      <c r="F16" s="6"/>
      <c r="G16" s="6"/>
      <c r="H16" s="6"/>
      <c r="I16" s="6"/>
      <c r="J16" s="8"/>
      <c r="K16" s="6">
        <v>479.6</v>
      </c>
      <c r="L16" s="6">
        <v>473.37</v>
      </c>
      <c r="N16" s="6">
        <v>35</v>
      </c>
      <c r="O16" s="6">
        <v>521.41999999999996</v>
      </c>
      <c r="P16" s="6">
        <v>535.36</v>
      </c>
      <c r="Q16" s="6">
        <v>533.86</v>
      </c>
      <c r="S16" s="6">
        <v>35</v>
      </c>
      <c r="T16" s="6">
        <v>577.79</v>
      </c>
      <c r="U16" s="6">
        <v>591.72</v>
      </c>
      <c r="V16" s="6">
        <v>587.80999999999995</v>
      </c>
    </row>
    <row r="17" spans="1:22" x14ac:dyDescent="0.35">
      <c r="A17" s="6">
        <v>40</v>
      </c>
      <c r="B17" s="6">
        <v>471.1</v>
      </c>
      <c r="C17" s="6"/>
      <c r="D17" s="6"/>
      <c r="E17" s="6"/>
      <c r="F17" s="6"/>
      <c r="G17" s="6"/>
      <c r="H17" s="6"/>
      <c r="I17" s="6"/>
      <c r="J17" s="8"/>
      <c r="K17" s="6">
        <v>481.7</v>
      </c>
      <c r="L17" s="6">
        <v>476.01</v>
      </c>
      <c r="N17" s="6">
        <v>40</v>
      </c>
      <c r="O17" s="6">
        <v>526.42999999999995</v>
      </c>
      <c r="P17" s="6">
        <v>540.66</v>
      </c>
      <c r="Q17" s="6">
        <v>537.63</v>
      </c>
      <c r="S17" s="6">
        <v>40</v>
      </c>
      <c r="T17" s="6">
        <v>585.07000000000005</v>
      </c>
      <c r="U17" s="6">
        <v>597.85</v>
      </c>
      <c r="V17" s="6">
        <v>595.15</v>
      </c>
    </row>
    <row r="18" spans="1:22" x14ac:dyDescent="0.35">
      <c r="A18" s="6">
        <v>45</v>
      </c>
      <c r="B18" s="6">
        <v>474.7</v>
      </c>
      <c r="C18" s="6"/>
      <c r="D18" s="6"/>
      <c r="E18" s="6"/>
      <c r="F18" s="6"/>
      <c r="G18" s="6"/>
      <c r="H18" s="6"/>
      <c r="I18" s="6"/>
      <c r="J18" s="8"/>
      <c r="K18" s="6">
        <v>481</v>
      </c>
      <c r="L18" s="6">
        <v>477.79</v>
      </c>
      <c r="N18" s="6">
        <v>45</v>
      </c>
      <c r="O18" s="6">
        <v>531.14</v>
      </c>
      <c r="P18" s="6">
        <v>544.15</v>
      </c>
      <c r="Q18" s="6">
        <v>542.26</v>
      </c>
      <c r="S18" s="6">
        <v>45</v>
      </c>
      <c r="T18" s="6">
        <v>589.51</v>
      </c>
      <c r="U18" s="6">
        <v>604.75</v>
      </c>
      <c r="V18" s="6">
        <v>600.92999999999995</v>
      </c>
    </row>
    <row r="19" spans="1:22" x14ac:dyDescent="0.35">
      <c r="A19" s="6">
        <v>50</v>
      </c>
      <c r="B19" s="6">
        <v>478</v>
      </c>
      <c r="C19" s="6"/>
      <c r="D19" s="6"/>
      <c r="E19" s="6"/>
      <c r="F19" s="6"/>
      <c r="G19" s="6"/>
      <c r="H19" s="6"/>
      <c r="I19" s="6"/>
      <c r="J19" s="8"/>
      <c r="K19" s="6">
        <v>481</v>
      </c>
      <c r="L19" s="6">
        <v>476.32</v>
      </c>
      <c r="N19" s="6">
        <v>50</v>
      </c>
      <c r="O19" s="6">
        <v>535.44000000000005</v>
      </c>
      <c r="P19" s="6">
        <v>548.54</v>
      </c>
      <c r="Q19" s="6">
        <v>545.16999999999996</v>
      </c>
      <c r="S19" s="6">
        <v>50</v>
      </c>
      <c r="T19" s="6">
        <v>595.16999999999996</v>
      </c>
      <c r="U19" s="6">
        <v>610.62</v>
      </c>
      <c r="V19" s="6">
        <v>607.16999999999996</v>
      </c>
    </row>
    <row r="20" spans="1:22" x14ac:dyDescent="0.35">
      <c r="A20" s="6">
        <v>55</v>
      </c>
      <c r="B20" s="6">
        <v>477</v>
      </c>
      <c r="C20" s="6"/>
      <c r="D20" s="6"/>
      <c r="E20" s="6"/>
      <c r="F20" s="6"/>
      <c r="G20" s="6"/>
      <c r="H20" s="6"/>
      <c r="I20" s="6"/>
      <c r="J20" s="8"/>
      <c r="K20" s="6">
        <v>476.9</v>
      </c>
      <c r="L20" s="6">
        <v>477.76</v>
      </c>
      <c r="N20" s="6">
        <v>55</v>
      </c>
      <c r="O20" s="6">
        <v>540.25</v>
      </c>
      <c r="P20" s="6">
        <v>550.94000000000005</v>
      </c>
      <c r="Q20" s="6">
        <v>546.92999999999995</v>
      </c>
      <c r="S20" s="6">
        <v>55</v>
      </c>
      <c r="T20" s="6">
        <v>600.39</v>
      </c>
      <c r="U20" s="6">
        <v>615.89</v>
      </c>
      <c r="V20" s="6">
        <v>611.86</v>
      </c>
    </row>
    <row r="21" spans="1:22" x14ac:dyDescent="0.35">
      <c r="A21" s="6">
        <v>60</v>
      </c>
      <c r="B21" s="6">
        <v>477.7</v>
      </c>
      <c r="C21" s="6"/>
      <c r="D21" s="6"/>
      <c r="E21" s="6"/>
      <c r="F21" s="6"/>
      <c r="G21" s="6"/>
      <c r="H21" s="6"/>
      <c r="I21" s="6"/>
      <c r="J21" s="8"/>
      <c r="K21" s="6">
        <v>471.8</v>
      </c>
      <c r="L21" s="6">
        <v>475.84</v>
      </c>
      <c r="N21" s="6">
        <v>60</v>
      </c>
      <c r="O21" s="6">
        <v>544.92999999999995</v>
      </c>
      <c r="P21" s="6">
        <v>551.98</v>
      </c>
      <c r="Q21" s="6">
        <v>547.1</v>
      </c>
      <c r="S21" s="6">
        <v>60</v>
      </c>
      <c r="T21" s="6">
        <v>605.16</v>
      </c>
      <c r="U21" s="6">
        <v>617.92999999999995</v>
      </c>
      <c r="V21" s="6">
        <v>616.91</v>
      </c>
    </row>
    <row r="22" spans="1:22" x14ac:dyDescent="0.35">
      <c r="A22" s="6">
        <v>65</v>
      </c>
      <c r="B22" s="6">
        <v>475.6</v>
      </c>
      <c r="C22" s="6"/>
      <c r="D22" s="6"/>
      <c r="E22" s="6"/>
      <c r="F22" s="6"/>
      <c r="G22" s="6"/>
      <c r="H22" s="6"/>
      <c r="I22" s="6"/>
      <c r="J22" s="8"/>
      <c r="K22" s="6">
        <v>465.3</v>
      </c>
      <c r="L22" s="6">
        <v>474.18</v>
      </c>
      <c r="N22" s="6">
        <v>65</v>
      </c>
      <c r="O22" s="6">
        <v>550.04</v>
      </c>
      <c r="P22" s="6">
        <v>551.04999999999995</v>
      </c>
      <c r="Q22" s="6">
        <v>545.72</v>
      </c>
      <c r="S22" s="6">
        <v>65</v>
      </c>
      <c r="T22" s="6">
        <v>609.97</v>
      </c>
      <c r="U22" s="6">
        <v>621.41999999999996</v>
      </c>
      <c r="V22" s="6">
        <v>620.58000000000004</v>
      </c>
    </row>
    <row r="23" spans="1:22" x14ac:dyDescent="0.35">
      <c r="A23" s="6">
        <v>70</v>
      </c>
      <c r="B23" s="6">
        <v>472.8</v>
      </c>
      <c r="C23" s="6"/>
      <c r="D23" s="6"/>
      <c r="E23" s="6"/>
      <c r="F23" s="6"/>
      <c r="G23" s="6"/>
      <c r="H23" s="6"/>
      <c r="I23" s="6"/>
      <c r="J23" s="8"/>
      <c r="K23" s="6">
        <v>461.3</v>
      </c>
      <c r="L23" s="6">
        <v>468.49</v>
      </c>
      <c r="N23" s="6">
        <v>70</v>
      </c>
      <c r="O23" s="6">
        <v>551.09</v>
      </c>
      <c r="P23" s="6">
        <v>546.78</v>
      </c>
      <c r="Q23" s="6">
        <v>542.91</v>
      </c>
      <c r="S23" s="6">
        <v>70</v>
      </c>
      <c r="T23" s="6">
        <v>615.04</v>
      </c>
      <c r="U23" s="6">
        <v>623.61</v>
      </c>
      <c r="V23" s="6">
        <v>624.96</v>
      </c>
    </row>
    <row r="24" spans="1:22" x14ac:dyDescent="0.35">
      <c r="J24" s="1"/>
      <c r="P24" s="32"/>
    </row>
    <row r="25" spans="1:22" x14ac:dyDescent="0.35">
      <c r="J25" s="1"/>
      <c r="P25" s="32"/>
    </row>
    <row r="26" spans="1:22" x14ac:dyDescent="0.35">
      <c r="J26" s="1"/>
    </row>
    <row r="27" spans="1:22" x14ac:dyDescent="0.35">
      <c r="J27" s="1"/>
    </row>
    <row r="28" spans="1:22" x14ac:dyDescent="0.35">
      <c r="J28" s="1"/>
    </row>
    <row r="29" spans="1:22" ht="14.4" customHeight="1" x14ac:dyDescent="0.35">
      <c r="A29" s="47" t="s">
        <v>67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</row>
    <row r="30" spans="1:22" ht="58" x14ac:dyDescent="0.35">
      <c r="A30" s="26" t="s">
        <v>1</v>
      </c>
      <c r="B30" s="27" t="s">
        <v>68</v>
      </c>
      <c r="C30" s="26"/>
      <c r="D30" s="26"/>
      <c r="E30" s="26"/>
      <c r="F30" s="26"/>
      <c r="G30" s="26"/>
      <c r="H30" s="26"/>
      <c r="I30" s="26"/>
      <c r="J30" s="26"/>
      <c r="K30" s="27" t="s">
        <v>69</v>
      </c>
      <c r="L30" s="31" t="s">
        <v>70</v>
      </c>
      <c r="N30" s="33" t="s">
        <v>1</v>
      </c>
      <c r="O30" s="34" t="s">
        <v>71</v>
      </c>
      <c r="P30" s="34" t="s">
        <v>72</v>
      </c>
      <c r="Q30" s="34" t="s">
        <v>73</v>
      </c>
      <c r="S30" s="30" t="s">
        <v>1</v>
      </c>
      <c r="T30" s="31" t="s">
        <v>74</v>
      </c>
      <c r="U30" s="31" t="s">
        <v>75</v>
      </c>
      <c r="V30" s="31" t="s">
        <v>76</v>
      </c>
    </row>
    <row r="31" spans="1:22" ht="14.4" customHeight="1" x14ac:dyDescent="0.35">
      <c r="A31" s="6">
        <v>30</v>
      </c>
      <c r="B31" s="8">
        <v>3.71</v>
      </c>
      <c r="C31" s="8"/>
      <c r="D31" s="8"/>
      <c r="E31" s="8"/>
      <c r="F31" s="8"/>
      <c r="G31" s="8"/>
      <c r="H31" s="8"/>
      <c r="I31" s="8"/>
      <c r="J31" s="8"/>
      <c r="K31" s="8">
        <v>3.42</v>
      </c>
      <c r="L31" s="6">
        <v>3.45</v>
      </c>
      <c r="N31" s="8">
        <v>30</v>
      </c>
      <c r="O31" s="8">
        <v>3.92</v>
      </c>
      <c r="P31" s="8">
        <v>3.71</v>
      </c>
      <c r="Q31" s="8">
        <v>3.75</v>
      </c>
      <c r="S31" s="6">
        <v>30</v>
      </c>
      <c r="T31" s="8">
        <v>4.08</v>
      </c>
      <c r="U31" s="8">
        <v>4.01</v>
      </c>
      <c r="V31" s="8">
        <v>4.03</v>
      </c>
    </row>
    <row r="32" spans="1:22" ht="14.4" customHeight="1" x14ac:dyDescent="0.35">
      <c r="A32" s="6">
        <v>35</v>
      </c>
      <c r="B32" s="8">
        <v>3.74</v>
      </c>
      <c r="C32" s="8"/>
      <c r="D32" s="8"/>
      <c r="E32" s="8"/>
      <c r="F32" s="8"/>
      <c r="G32" s="8"/>
      <c r="H32" s="8"/>
      <c r="I32" s="8"/>
      <c r="J32" s="8"/>
      <c r="K32" s="8">
        <v>3.44</v>
      </c>
      <c r="L32" s="6">
        <v>3.47</v>
      </c>
      <c r="N32" s="8">
        <v>35</v>
      </c>
      <c r="O32" s="8">
        <v>3.93</v>
      </c>
      <c r="P32" s="8">
        <v>3.72</v>
      </c>
      <c r="Q32" s="8">
        <v>3.76</v>
      </c>
      <c r="S32" s="6">
        <v>35</v>
      </c>
      <c r="T32" s="8">
        <v>4.08</v>
      </c>
      <c r="U32" s="8">
        <v>4.01</v>
      </c>
      <c r="V32" s="8">
        <v>4.03</v>
      </c>
    </row>
    <row r="33" spans="1:22" ht="14.4" customHeight="1" x14ac:dyDescent="0.35">
      <c r="A33" s="6">
        <v>40</v>
      </c>
      <c r="B33" s="8">
        <v>3.76</v>
      </c>
      <c r="C33" s="8"/>
      <c r="D33" s="8"/>
      <c r="E33" s="8"/>
      <c r="F33" s="8"/>
      <c r="G33" s="8"/>
      <c r="H33" s="8"/>
      <c r="I33" s="8"/>
      <c r="J33" s="8"/>
      <c r="K33" s="8">
        <v>3.46</v>
      </c>
      <c r="L33" s="6">
        <v>3.49</v>
      </c>
      <c r="N33" s="8">
        <v>40</v>
      </c>
      <c r="O33" s="8">
        <v>3.94</v>
      </c>
      <c r="P33" s="8">
        <v>3.73</v>
      </c>
      <c r="Q33" s="8">
        <v>3.77</v>
      </c>
      <c r="S33" s="6">
        <v>40</v>
      </c>
      <c r="T33" s="8">
        <v>4.08</v>
      </c>
      <c r="U33" s="8">
        <v>4</v>
      </c>
      <c r="V33" s="8">
        <v>4.03</v>
      </c>
    </row>
    <row r="34" spans="1:22" ht="14.4" customHeight="1" x14ac:dyDescent="0.35">
      <c r="A34" s="6">
        <v>45</v>
      </c>
      <c r="B34" s="8">
        <v>3.78</v>
      </c>
      <c r="C34" s="8"/>
      <c r="D34" s="8"/>
      <c r="E34" s="8"/>
      <c r="F34" s="8"/>
      <c r="G34" s="8"/>
      <c r="H34" s="8"/>
      <c r="I34" s="8"/>
      <c r="J34" s="8"/>
      <c r="K34" s="8">
        <v>3.46</v>
      </c>
      <c r="L34" s="6">
        <v>3.5</v>
      </c>
      <c r="N34" s="8">
        <v>45</v>
      </c>
      <c r="O34" s="8">
        <v>3.95</v>
      </c>
      <c r="P34" s="8">
        <v>3.73</v>
      </c>
      <c r="Q34" s="8">
        <v>3.77</v>
      </c>
      <c r="S34" s="6">
        <v>45</v>
      </c>
      <c r="T34" s="8">
        <v>4.07</v>
      </c>
      <c r="U34" s="8">
        <v>4</v>
      </c>
      <c r="V34" s="8">
        <v>4.0199999999999996</v>
      </c>
    </row>
    <row r="35" spans="1:22" ht="14.4" customHeight="1" x14ac:dyDescent="0.35">
      <c r="A35" s="6">
        <v>50</v>
      </c>
      <c r="B35" s="8">
        <v>3.8</v>
      </c>
      <c r="C35" s="8"/>
      <c r="D35" s="8"/>
      <c r="E35" s="8"/>
      <c r="F35" s="8"/>
      <c r="G35" s="8"/>
      <c r="H35" s="8"/>
      <c r="I35" s="8"/>
      <c r="J35" s="8"/>
      <c r="K35" s="8">
        <v>3.47</v>
      </c>
      <c r="L35" s="6">
        <v>3.5</v>
      </c>
      <c r="N35" s="8">
        <v>50</v>
      </c>
      <c r="O35" s="8">
        <v>3.96</v>
      </c>
      <c r="P35" s="8">
        <v>3.74</v>
      </c>
      <c r="Q35" s="8">
        <v>3.77</v>
      </c>
      <c r="S35" s="6">
        <v>50</v>
      </c>
      <c r="T35" s="8">
        <v>4.07</v>
      </c>
      <c r="U35" s="8">
        <v>4</v>
      </c>
      <c r="V35" s="8">
        <v>4.0199999999999996</v>
      </c>
    </row>
    <row r="36" spans="1:22" ht="14.4" customHeight="1" x14ac:dyDescent="0.35">
      <c r="A36" s="6">
        <v>55</v>
      </c>
      <c r="B36" s="8">
        <v>3.81</v>
      </c>
      <c r="C36" s="8"/>
      <c r="D36" s="8"/>
      <c r="E36" s="8"/>
      <c r="F36" s="8"/>
      <c r="G36" s="8"/>
      <c r="H36" s="8"/>
      <c r="I36" s="8"/>
      <c r="J36" s="8"/>
      <c r="K36" s="8">
        <v>3.47</v>
      </c>
      <c r="L36" s="6">
        <v>3.51</v>
      </c>
      <c r="N36" s="8">
        <v>55</v>
      </c>
      <c r="O36" s="8">
        <v>3.96</v>
      </c>
      <c r="P36" s="8">
        <v>3.74</v>
      </c>
      <c r="Q36" s="8">
        <v>3.77</v>
      </c>
      <c r="S36" s="6">
        <v>55</v>
      </c>
      <c r="T36" s="8">
        <v>4.0599999999999996</v>
      </c>
      <c r="U36" s="8">
        <v>3.99</v>
      </c>
      <c r="V36" s="8">
        <v>4.01</v>
      </c>
    </row>
    <row r="37" spans="1:22" ht="14.4" customHeight="1" x14ac:dyDescent="0.35">
      <c r="A37" s="6">
        <v>60</v>
      </c>
      <c r="B37" s="8">
        <v>3.82</v>
      </c>
      <c r="C37" s="8"/>
      <c r="D37" s="8"/>
      <c r="E37" s="8"/>
      <c r="F37" s="8"/>
      <c r="G37" s="8"/>
      <c r="H37" s="8"/>
      <c r="I37" s="8"/>
      <c r="J37" s="8"/>
      <c r="K37" s="8">
        <v>3.46</v>
      </c>
      <c r="L37" s="6">
        <v>3.52</v>
      </c>
      <c r="M37" s="20"/>
      <c r="N37" s="8">
        <v>60</v>
      </c>
      <c r="O37" s="8">
        <v>3.97</v>
      </c>
      <c r="P37" s="8">
        <v>3.73</v>
      </c>
      <c r="Q37" s="8">
        <v>3.77</v>
      </c>
      <c r="S37" s="6">
        <v>60</v>
      </c>
      <c r="T37" s="8">
        <v>4.05</v>
      </c>
      <c r="U37" s="8">
        <v>3.98</v>
      </c>
      <c r="V37" s="8">
        <v>4.01</v>
      </c>
    </row>
    <row r="38" spans="1:22" x14ac:dyDescent="0.35">
      <c r="A38" s="6">
        <v>65</v>
      </c>
      <c r="B38" s="8">
        <v>3.82</v>
      </c>
      <c r="C38" s="8"/>
      <c r="D38" s="8"/>
      <c r="E38" s="8"/>
      <c r="F38" s="8"/>
      <c r="G38" s="8"/>
      <c r="H38" s="8"/>
      <c r="I38" s="8"/>
      <c r="J38" s="8"/>
      <c r="K38" s="8">
        <v>3.46</v>
      </c>
      <c r="L38" s="6">
        <v>3.52</v>
      </c>
      <c r="N38" s="8">
        <v>65</v>
      </c>
      <c r="O38" s="8">
        <v>3.97</v>
      </c>
      <c r="P38" s="8">
        <v>3.73</v>
      </c>
      <c r="Q38" s="8">
        <v>3.76</v>
      </c>
      <c r="S38" s="6">
        <v>65</v>
      </c>
      <c r="T38" s="8">
        <v>4.05</v>
      </c>
      <c r="U38" s="8">
        <v>3.98</v>
      </c>
      <c r="V38" s="8">
        <v>4</v>
      </c>
    </row>
    <row r="39" spans="1:22" ht="14.4" customHeight="1" x14ac:dyDescent="0.35">
      <c r="A39" s="6">
        <v>70</v>
      </c>
      <c r="B39" s="8">
        <v>3.83</v>
      </c>
      <c r="C39" s="8"/>
      <c r="D39" s="8"/>
      <c r="E39" s="8"/>
      <c r="F39" s="8"/>
      <c r="G39" s="8"/>
      <c r="H39" s="8"/>
      <c r="I39" s="8"/>
      <c r="J39" s="8"/>
      <c r="K39" s="8">
        <v>3.46</v>
      </c>
      <c r="L39" s="6">
        <v>3.52</v>
      </c>
      <c r="N39" s="8">
        <v>70</v>
      </c>
      <c r="O39" s="8">
        <v>3.96</v>
      </c>
      <c r="P39" s="8">
        <v>3.72</v>
      </c>
      <c r="Q39" s="8">
        <v>3.75</v>
      </c>
      <c r="S39" s="6">
        <v>70</v>
      </c>
      <c r="T39" s="8">
        <v>4.05</v>
      </c>
      <c r="U39" s="8">
        <v>3.97</v>
      </c>
      <c r="V39" s="8">
        <v>3.99</v>
      </c>
    </row>
    <row r="40" spans="1:22" x14ac:dyDescent="0.35">
      <c r="J40" s="1"/>
      <c r="U40" s="1"/>
    </row>
    <row r="41" spans="1:22" x14ac:dyDescent="0.35">
      <c r="B41" s="47" t="s">
        <v>39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</row>
    <row r="42" spans="1:22" x14ac:dyDescent="0.35">
      <c r="A42" s="25" t="s">
        <v>77</v>
      </c>
      <c r="B42" s="35" t="s">
        <v>78</v>
      </c>
      <c r="C42" s="35"/>
      <c r="D42" s="35"/>
      <c r="E42" s="35"/>
      <c r="F42" s="35"/>
      <c r="G42" s="35"/>
      <c r="H42" s="35"/>
      <c r="I42" s="35"/>
      <c r="J42" s="35"/>
      <c r="K42" s="35" t="s">
        <v>37</v>
      </c>
      <c r="L42" s="35" t="s">
        <v>38</v>
      </c>
    </row>
    <row r="43" spans="1:22" x14ac:dyDescent="0.35">
      <c r="A43" s="25" t="s">
        <v>79</v>
      </c>
      <c r="B43" s="35">
        <v>0</v>
      </c>
      <c r="C43" s="35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</row>
    <row r="44" spans="1:22" x14ac:dyDescent="0.35">
      <c r="A44" s="25" t="s">
        <v>80</v>
      </c>
      <c r="B44" s="35">
        <v>0.44</v>
      </c>
      <c r="C44" s="35"/>
      <c r="D44" s="35"/>
      <c r="E44" s="35"/>
      <c r="F44" s="35"/>
      <c r="G44" s="35"/>
      <c r="H44" s="35"/>
      <c r="I44" s="35"/>
      <c r="J44" s="35"/>
      <c r="K44" s="35">
        <v>0.45</v>
      </c>
      <c r="L44" s="35">
        <v>0.44</v>
      </c>
    </row>
    <row r="45" spans="1:22" x14ac:dyDescent="0.35">
      <c r="A45" s="25" t="s">
        <v>81</v>
      </c>
      <c r="B45" s="35">
        <v>0.36</v>
      </c>
      <c r="C45" s="35"/>
      <c r="D45" s="35"/>
      <c r="E45" s="35"/>
      <c r="F45" s="35"/>
      <c r="G45" s="35"/>
      <c r="H45" s="35"/>
      <c r="I45" s="35"/>
      <c r="J45" s="35"/>
      <c r="K45" s="35">
        <v>0.36</v>
      </c>
      <c r="L45" s="35">
        <v>0.35</v>
      </c>
    </row>
    <row r="48" spans="1:22" x14ac:dyDescent="0.35">
      <c r="G48" s="20"/>
    </row>
  </sheetData>
  <mergeCells count="5">
    <mergeCell ref="B1:K1"/>
    <mergeCell ref="A7:K7"/>
    <mergeCell ref="A13:K13"/>
    <mergeCell ref="A29:K29"/>
    <mergeCell ref="B41:L4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799C-AD02-4988-B6A7-72366FA7409E}">
  <dimension ref="A1:AF27"/>
  <sheetViews>
    <sheetView topLeftCell="A7" zoomScale="80" zoomScaleNormal="80" workbookViewId="0">
      <selection activeCell="J17" sqref="J17:J26"/>
    </sheetView>
  </sheetViews>
  <sheetFormatPr defaultRowHeight="14.5" x14ac:dyDescent="0.35"/>
  <cols>
    <col min="1" max="1" width="6.08984375" customWidth="1"/>
    <col min="2" max="2" width="7.90625" customWidth="1"/>
    <col min="3" max="3" width="7.26953125" customWidth="1"/>
    <col min="15" max="15" width="7.7265625" customWidth="1"/>
    <col min="17" max="17" width="7.6328125" customWidth="1"/>
  </cols>
  <sheetData>
    <row r="1" spans="1:32" x14ac:dyDescent="0.35">
      <c r="A1" s="48" t="s">
        <v>21</v>
      </c>
      <c r="B1" s="48"/>
      <c r="C1" s="48"/>
      <c r="D1" s="48"/>
      <c r="E1" s="48"/>
      <c r="F1" s="48"/>
      <c r="G1" s="48"/>
      <c r="H1" s="48"/>
      <c r="I1" s="48"/>
    </row>
    <row r="2" spans="1:32" x14ac:dyDescent="0.35">
      <c r="A2" s="6" t="s">
        <v>1</v>
      </c>
      <c r="B2" s="49" t="s">
        <v>22</v>
      </c>
      <c r="C2" s="49"/>
      <c r="D2" s="21" t="s">
        <v>23</v>
      </c>
      <c r="E2" s="50" t="s">
        <v>24</v>
      </c>
      <c r="F2" s="50"/>
      <c r="G2" s="22" t="s">
        <v>23</v>
      </c>
      <c r="H2" s="51" t="s">
        <v>25</v>
      </c>
      <c r="I2" s="51"/>
      <c r="J2" s="23" t="s">
        <v>23</v>
      </c>
      <c r="L2" s="6" t="s">
        <v>1</v>
      </c>
      <c r="M2" s="49" t="s">
        <v>26</v>
      </c>
      <c r="N2" s="49"/>
      <c r="O2" s="21" t="s">
        <v>23</v>
      </c>
      <c r="P2" s="50" t="s">
        <v>27</v>
      </c>
      <c r="Q2" s="50"/>
      <c r="R2" s="22" t="s">
        <v>23</v>
      </c>
      <c r="S2" s="51" t="s">
        <v>28</v>
      </c>
      <c r="T2" s="51"/>
      <c r="U2" s="23" t="s">
        <v>23</v>
      </c>
      <c r="W2" s="6" t="s">
        <v>1</v>
      </c>
      <c r="X2" s="49" t="s">
        <v>29</v>
      </c>
      <c r="Y2" s="49"/>
      <c r="Z2" s="21" t="s">
        <v>23</v>
      </c>
      <c r="AA2" s="50" t="s">
        <v>30</v>
      </c>
      <c r="AB2" s="50"/>
      <c r="AC2" s="22" t="s">
        <v>23</v>
      </c>
      <c r="AD2" s="51" t="s">
        <v>31</v>
      </c>
      <c r="AE2" s="51"/>
      <c r="AF2" s="23" t="s">
        <v>23</v>
      </c>
    </row>
    <row r="3" spans="1:32" x14ac:dyDescent="0.35">
      <c r="A3" s="6">
        <v>30</v>
      </c>
      <c r="B3" s="6">
        <v>499.42</v>
      </c>
      <c r="C3" s="6">
        <v>499.43</v>
      </c>
      <c r="D3" s="7">
        <f>AVERAGE(B3:C3)</f>
        <v>499.42500000000001</v>
      </c>
      <c r="E3" s="6">
        <v>505.35</v>
      </c>
      <c r="F3" s="6">
        <v>505.34</v>
      </c>
      <c r="G3" s="6">
        <f>AVERAGE(E3:F3)</f>
        <v>505.34500000000003</v>
      </c>
      <c r="H3" s="6">
        <v>500.97</v>
      </c>
      <c r="I3" s="6">
        <v>501.07</v>
      </c>
      <c r="J3" s="7">
        <f>AVERAGE(H3:I3)</f>
        <v>501.02</v>
      </c>
      <c r="L3" s="6">
        <v>30</v>
      </c>
      <c r="M3" s="6">
        <v>451.24</v>
      </c>
      <c r="N3" s="6">
        <v>451.16</v>
      </c>
      <c r="O3" s="6">
        <f>AVERAGE(M3:N3)</f>
        <v>451.20000000000005</v>
      </c>
      <c r="P3" s="6">
        <v>455.54</v>
      </c>
      <c r="Q3" s="6">
        <v>455.61</v>
      </c>
      <c r="R3" s="7">
        <f>AVERAGE(P3:Q3)</f>
        <v>455.57500000000005</v>
      </c>
      <c r="S3" s="6">
        <v>453.78</v>
      </c>
      <c r="T3" s="6">
        <v>453.82</v>
      </c>
      <c r="U3" s="6">
        <f>AVERAGE(S3:T3)</f>
        <v>453.79999999999995</v>
      </c>
      <c r="W3" s="6">
        <v>30</v>
      </c>
      <c r="X3" s="6">
        <v>360.61</v>
      </c>
      <c r="Y3" s="6">
        <v>360.6</v>
      </c>
      <c r="Z3" s="6">
        <f>AVERAGE(X3:Y3)</f>
        <v>360.60500000000002</v>
      </c>
      <c r="AA3" s="6">
        <v>368.62</v>
      </c>
      <c r="AB3" s="6">
        <v>368.64</v>
      </c>
      <c r="AC3" s="6">
        <f>AVERAGE(AA3:AB3)</f>
        <v>368.63</v>
      </c>
      <c r="AD3" s="6">
        <v>360.4</v>
      </c>
      <c r="AE3" s="6">
        <v>360.38</v>
      </c>
      <c r="AF3" s="6">
        <f>AVERAGE(AD3:AE3)</f>
        <v>360.39</v>
      </c>
    </row>
    <row r="4" spans="1:32" x14ac:dyDescent="0.35">
      <c r="A4" s="6">
        <v>35</v>
      </c>
      <c r="B4" s="6">
        <v>504.12</v>
      </c>
      <c r="C4" s="6">
        <v>504.18</v>
      </c>
      <c r="D4" s="7">
        <f t="shared" ref="D4:D12" si="0">AVERAGE(B4:C4)</f>
        <v>504.15</v>
      </c>
      <c r="E4" s="6">
        <v>510.25</v>
      </c>
      <c r="F4" s="6">
        <v>510.04</v>
      </c>
      <c r="G4" s="6">
        <f t="shared" ref="G4:G12" si="1">AVERAGE(E4:F4)</f>
        <v>510.14499999999998</v>
      </c>
      <c r="H4" s="6">
        <v>506.25</v>
      </c>
      <c r="I4" s="6">
        <v>506.32</v>
      </c>
      <c r="J4" s="7">
        <f t="shared" ref="J4:J12" si="2">AVERAGE(H4:I4)</f>
        <v>506.28499999999997</v>
      </c>
      <c r="L4" s="6">
        <v>35</v>
      </c>
      <c r="M4" s="6">
        <v>456.17</v>
      </c>
      <c r="N4" s="6">
        <v>456.21</v>
      </c>
      <c r="O4" s="6">
        <f t="shared" ref="O4:O12" si="3">AVERAGE(M4:N4)</f>
        <v>456.19</v>
      </c>
      <c r="P4" s="6">
        <v>458.9</v>
      </c>
      <c r="Q4" s="6">
        <v>458.88</v>
      </c>
      <c r="R4" s="7">
        <f t="shared" ref="R4:R12" si="4">AVERAGE(P4:Q4)</f>
        <v>458.89</v>
      </c>
      <c r="S4" s="6">
        <v>457.24</v>
      </c>
      <c r="T4" s="6">
        <v>457.16</v>
      </c>
      <c r="U4" s="6">
        <f t="shared" ref="U4:U12" si="5">AVERAGE(S4:T4)</f>
        <v>457.20000000000005</v>
      </c>
      <c r="W4" s="6">
        <v>35</v>
      </c>
      <c r="X4" s="6">
        <v>362.96</v>
      </c>
      <c r="Y4" s="6">
        <v>362.98</v>
      </c>
      <c r="Z4" s="6">
        <f t="shared" ref="Z4:Z12" si="6">AVERAGE(X4:Y4)</f>
        <v>362.97</v>
      </c>
      <c r="AA4" s="6">
        <v>370.4</v>
      </c>
      <c r="AB4" s="6">
        <v>370.46</v>
      </c>
      <c r="AC4" s="6">
        <f t="shared" ref="AC4:AC12" si="7">AVERAGE(AA4:AB4)</f>
        <v>370.42999999999995</v>
      </c>
      <c r="AD4" s="6">
        <v>362.52</v>
      </c>
      <c r="AE4" s="6">
        <v>362.49</v>
      </c>
      <c r="AF4" s="6">
        <f t="shared" ref="AF4:AF12" si="8">AVERAGE(AD4:AE4)</f>
        <v>362.505</v>
      </c>
    </row>
    <row r="5" spans="1:32" x14ac:dyDescent="0.35">
      <c r="A5" s="6">
        <v>40</v>
      </c>
      <c r="B5" s="6">
        <v>508.85</v>
      </c>
      <c r="C5" s="6">
        <v>508.87</v>
      </c>
      <c r="D5" s="7">
        <f t="shared" si="0"/>
        <v>508.86</v>
      </c>
      <c r="E5" s="6">
        <v>514.70000000000005</v>
      </c>
      <c r="F5" s="6">
        <v>514.71</v>
      </c>
      <c r="G5" s="6">
        <f t="shared" si="1"/>
        <v>514.70500000000004</v>
      </c>
      <c r="H5" s="6">
        <v>510.6</v>
      </c>
      <c r="I5" s="6">
        <v>410.57</v>
      </c>
      <c r="J5" s="7">
        <f t="shared" si="2"/>
        <v>460.58500000000004</v>
      </c>
      <c r="L5" s="6">
        <v>40</v>
      </c>
      <c r="M5" s="6">
        <v>459.92</v>
      </c>
      <c r="N5" s="6">
        <v>460</v>
      </c>
      <c r="O5" s="6">
        <f t="shared" si="3"/>
        <v>459.96000000000004</v>
      </c>
      <c r="P5" s="6">
        <v>462.94</v>
      </c>
      <c r="Q5" s="6">
        <v>462.86</v>
      </c>
      <c r="R5" s="7">
        <f t="shared" si="4"/>
        <v>462.9</v>
      </c>
      <c r="S5" s="6">
        <v>460.86</v>
      </c>
      <c r="T5" s="6">
        <v>460.87</v>
      </c>
      <c r="U5" s="6">
        <f t="shared" si="5"/>
        <v>460.86500000000001</v>
      </c>
      <c r="W5" s="6">
        <v>40</v>
      </c>
      <c r="X5" s="6">
        <v>365.28</v>
      </c>
      <c r="Y5" s="6">
        <v>365.24</v>
      </c>
      <c r="Z5" s="6">
        <f t="shared" si="6"/>
        <v>365.26</v>
      </c>
      <c r="AA5" s="6">
        <v>372.17</v>
      </c>
      <c r="AB5" s="6">
        <v>372.2</v>
      </c>
      <c r="AC5" s="6">
        <f t="shared" si="7"/>
        <v>372.185</v>
      </c>
      <c r="AD5" s="6">
        <v>364.85</v>
      </c>
      <c r="AE5" s="6">
        <v>364.93</v>
      </c>
      <c r="AF5" s="6">
        <f t="shared" si="8"/>
        <v>364.89</v>
      </c>
    </row>
    <row r="6" spans="1:32" x14ac:dyDescent="0.35">
      <c r="A6" s="6">
        <v>45</v>
      </c>
      <c r="B6" s="6">
        <v>513.83000000000004</v>
      </c>
      <c r="C6" s="6">
        <v>513.92999999999995</v>
      </c>
      <c r="D6" s="7">
        <f t="shared" si="0"/>
        <v>513.88</v>
      </c>
      <c r="E6" s="6">
        <v>519.30999999999995</v>
      </c>
      <c r="F6" s="6">
        <v>519.33000000000004</v>
      </c>
      <c r="G6" s="6">
        <f t="shared" si="1"/>
        <v>519.31999999999994</v>
      </c>
      <c r="H6" s="6">
        <v>514.78</v>
      </c>
      <c r="I6" s="6">
        <v>514.79999999999995</v>
      </c>
      <c r="J6" s="7">
        <f t="shared" si="2"/>
        <v>514.79</v>
      </c>
      <c r="L6" s="6">
        <v>45</v>
      </c>
      <c r="M6" s="6">
        <v>463.71</v>
      </c>
      <c r="N6" s="6">
        <v>463.77</v>
      </c>
      <c r="O6" s="6">
        <f t="shared" si="3"/>
        <v>463.74</v>
      </c>
      <c r="P6" s="6">
        <v>466.19</v>
      </c>
      <c r="Q6" s="6">
        <v>466.29</v>
      </c>
      <c r="R6" s="7">
        <f t="shared" si="4"/>
        <v>466.24</v>
      </c>
      <c r="S6" s="6">
        <v>463.93</v>
      </c>
      <c r="T6" s="6">
        <v>463.91</v>
      </c>
      <c r="U6" s="6">
        <f t="shared" si="5"/>
        <v>463.92</v>
      </c>
      <c r="W6" s="6">
        <v>45</v>
      </c>
      <c r="X6" s="6">
        <v>367.21</v>
      </c>
      <c r="Y6" s="6">
        <v>367.24</v>
      </c>
      <c r="Z6" s="6">
        <f t="shared" si="6"/>
        <v>367.22500000000002</v>
      </c>
      <c r="AA6" s="6">
        <v>373.51</v>
      </c>
      <c r="AB6" s="6">
        <v>373.56</v>
      </c>
      <c r="AC6" s="6">
        <f t="shared" si="7"/>
        <v>373.53499999999997</v>
      </c>
      <c r="AD6" s="6">
        <v>367.07</v>
      </c>
      <c r="AE6" s="6">
        <v>367.11</v>
      </c>
      <c r="AF6" s="6">
        <f t="shared" si="8"/>
        <v>367.09000000000003</v>
      </c>
    </row>
    <row r="7" spans="1:32" x14ac:dyDescent="0.35">
      <c r="A7" s="6">
        <v>50</v>
      </c>
      <c r="B7" s="6">
        <v>519.05999999999995</v>
      </c>
      <c r="C7" s="6">
        <v>519.04999999999995</v>
      </c>
      <c r="D7" s="7">
        <f t="shared" si="0"/>
        <v>519.05499999999995</v>
      </c>
      <c r="E7" s="6">
        <v>521.67999999999995</v>
      </c>
      <c r="F7" s="6">
        <v>521.82000000000005</v>
      </c>
      <c r="G7" s="6">
        <f t="shared" si="1"/>
        <v>521.75</v>
      </c>
      <c r="H7" s="6">
        <v>517.34</v>
      </c>
      <c r="I7" s="6">
        <v>517.47</v>
      </c>
      <c r="J7" s="7">
        <f t="shared" si="2"/>
        <v>517.40499999999997</v>
      </c>
      <c r="L7" s="6">
        <v>50</v>
      </c>
      <c r="M7" s="6">
        <v>467.07</v>
      </c>
      <c r="N7" s="6">
        <v>467.07</v>
      </c>
      <c r="O7" s="6">
        <f t="shared" si="3"/>
        <v>467.07</v>
      </c>
      <c r="P7" s="6">
        <v>469.58</v>
      </c>
      <c r="Q7" s="6">
        <v>469.64</v>
      </c>
      <c r="R7" s="7">
        <f t="shared" si="4"/>
        <v>469.61</v>
      </c>
      <c r="S7" s="6">
        <v>466.41</v>
      </c>
      <c r="T7" s="6">
        <v>455.46</v>
      </c>
      <c r="U7" s="6">
        <f t="shared" si="5"/>
        <v>460.935</v>
      </c>
      <c r="W7" s="6">
        <v>50</v>
      </c>
      <c r="X7" s="6">
        <v>369.39</v>
      </c>
      <c r="Y7" s="6">
        <v>369.37</v>
      </c>
      <c r="Z7" s="6">
        <f t="shared" si="6"/>
        <v>369.38</v>
      </c>
      <c r="AA7" s="6">
        <v>375.25</v>
      </c>
      <c r="AB7" s="6">
        <v>375.25</v>
      </c>
      <c r="AC7" s="6">
        <f t="shared" si="7"/>
        <v>375.25</v>
      </c>
      <c r="AD7" s="6">
        <v>368.52</v>
      </c>
      <c r="AE7" s="6">
        <v>368.6</v>
      </c>
      <c r="AF7" s="6">
        <f t="shared" si="8"/>
        <v>368.56</v>
      </c>
    </row>
    <row r="8" spans="1:32" x14ac:dyDescent="0.35">
      <c r="A8" s="6">
        <v>55</v>
      </c>
      <c r="B8" s="6">
        <v>523.52</v>
      </c>
      <c r="C8" s="6">
        <v>523.41999999999996</v>
      </c>
      <c r="D8" s="7">
        <f t="shared" si="0"/>
        <v>523.47</v>
      </c>
      <c r="E8" s="6">
        <v>524.74</v>
      </c>
      <c r="F8" s="6">
        <v>524.83000000000004</v>
      </c>
      <c r="G8" s="6">
        <f t="shared" si="1"/>
        <v>524.78500000000008</v>
      </c>
      <c r="H8" s="6">
        <v>520.76</v>
      </c>
      <c r="I8" s="6">
        <v>520.76</v>
      </c>
      <c r="J8" s="7">
        <f t="shared" si="2"/>
        <v>520.76</v>
      </c>
      <c r="L8" s="6">
        <v>55</v>
      </c>
      <c r="M8" s="6">
        <v>471</v>
      </c>
      <c r="N8" s="6">
        <v>470.96</v>
      </c>
      <c r="O8" s="6">
        <f t="shared" si="3"/>
        <v>470.98</v>
      </c>
      <c r="P8" s="6">
        <v>473.08</v>
      </c>
      <c r="Q8" s="6">
        <v>473</v>
      </c>
      <c r="R8" s="7">
        <f t="shared" si="4"/>
        <v>473.03999999999996</v>
      </c>
      <c r="S8" s="6">
        <v>468.32</v>
      </c>
      <c r="T8" s="6">
        <v>468.34</v>
      </c>
      <c r="U8" s="6">
        <f t="shared" si="5"/>
        <v>468.33</v>
      </c>
      <c r="W8" s="6">
        <v>55</v>
      </c>
      <c r="X8" s="6">
        <v>371.75</v>
      </c>
      <c r="Y8" s="6">
        <v>371.79</v>
      </c>
      <c r="Z8" s="6">
        <f t="shared" si="6"/>
        <v>371.77</v>
      </c>
      <c r="AA8" s="6">
        <v>376.66</v>
      </c>
      <c r="AB8" s="6">
        <v>376.71</v>
      </c>
      <c r="AC8" s="6">
        <f t="shared" si="7"/>
        <v>376.685</v>
      </c>
      <c r="AD8" s="6">
        <v>370.71</v>
      </c>
      <c r="AE8" s="6">
        <v>370.72</v>
      </c>
      <c r="AF8" s="6">
        <f t="shared" si="8"/>
        <v>370.71500000000003</v>
      </c>
    </row>
    <row r="9" spans="1:32" x14ac:dyDescent="0.35">
      <c r="A9" s="6">
        <v>60</v>
      </c>
      <c r="B9" s="6">
        <v>526.72</v>
      </c>
      <c r="C9" s="6">
        <v>526.67999999999995</v>
      </c>
      <c r="D9" s="7">
        <f t="shared" si="0"/>
        <v>526.70000000000005</v>
      </c>
      <c r="E9" s="6">
        <v>524.41999999999996</v>
      </c>
      <c r="F9" s="6">
        <v>524.44000000000005</v>
      </c>
      <c r="G9" s="6">
        <f t="shared" si="1"/>
        <v>524.43000000000006</v>
      </c>
      <c r="H9" s="6">
        <v>522.54</v>
      </c>
      <c r="I9" s="6">
        <v>522.55999999999995</v>
      </c>
      <c r="J9" s="7">
        <f t="shared" si="2"/>
        <v>522.54999999999995</v>
      </c>
      <c r="L9" s="6">
        <v>60</v>
      </c>
      <c r="M9" s="6">
        <v>473.49</v>
      </c>
      <c r="N9" s="6">
        <v>473.35</v>
      </c>
      <c r="O9" s="6">
        <f t="shared" si="3"/>
        <v>473.42</v>
      </c>
      <c r="P9" s="6">
        <v>474.89</v>
      </c>
      <c r="Q9" s="6">
        <v>474.8</v>
      </c>
      <c r="R9" s="7">
        <f t="shared" si="4"/>
        <v>474.84500000000003</v>
      </c>
      <c r="S9" s="6">
        <v>470.53</v>
      </c>
      <c r="T9" s="6">
        <v>470.59</v>
      </c>
      <c r="U9" s="6">
        <f t="shared" si="5"/>
        <v>470.55999999999995</v>
      </c>
      <c r="W9" s="6">
        <v>60</v>
      </c>
      <c r="X9" s="6">
        <v>372.83</v>
      </c>
      <c r="Y9" s="6">
        <v>372.83</v>
      </c>
      <c r="Z9" s="6">
        <f t="shared" si="6"/>
        <v>372.83</v>
      </c>
      <c r="AA9" s="6">
        <v>377.16</v>
      </c>
      <c r="AB9" s="6">
        <v>377.08</v>
      </c>
      <c r="AC9" s="6">
        <f t="shared" si="7"/>
        <v>377.12</v>
      </c>
      <c r="AD9" s="6">
        <v>371.69</v>
      </c>
      <c r="AE9" s="6">
        <v>371.6</v>
      </c>
      <c r="AF9" s="6">
        <f t="shared" si="8"/>
        <v>371.64499999999998</v>
      </c>
    </row>
    <row r="10" spans="1:32" x14ac:dyDescent="0.35">
      <c r="A10" s="6">
        <v>65</v>
      </c>
      <c r="B10" s="6">
        <v>530.33000000000004</v>
      </c>
      <c r="C10" s="6">
        <v>530.27</v>
      </c>
      <c r="D10" s="7">
        <f t="shared" si="0"/>
        <v>530.29999999999995</v>
      </c>
      <c r="E10" s="6">
        <v>526.45000000000005</v>
      </c>
      <c r="F10" s="6">
        <v>526.41999999999996</v>
      </c>
      <c r="G10" s="6">
        <f t="shared" si="1"/>
        <v>526.43499999999995</v>
      </c>
      <c r="H10" s="6">
        <v>525.4</v>
      </c>
      <c r="I10" s="6">
        <v>525.54999999999995</v>
      </c>
      <c r="J10" s="7">
        <f t="shared" si="2"/>
        <v>525.47499999999991</v>
      </c>
      <c r="L10" s="6">
        <v>65</v>
      </c>
      <c r="M10" s="6">
        <v>476.92</v>
      </c>
      <c r="N10" s="6">
        <v>476.99</v>
      </c>
      <c r="O10" s="6">
        <f t="shared" si="3"/>
        <v>476.95500000000004</v>
      </c>
      <c r="P10" s="6">
        <v>474.68</v>
      </c>
      <c r="Q10" s="6">
        <v>474.52</v>
      </c>
      <c r="R10" s="7">
        <f t="shared" si="4"/>
        <v>474.6</v>
      </c>
      <c r="S10" s="6">
        <v>472.17</v>
      </c>
      <c r="T10" s="6">
        <v>472.18</v>
      </c>
      <c r="U10" s="6">
        <f t="shared" si="5"/>
        <v>472.17500000000001</v>
      </c>
      <c r="W10" s="6">
        <v>65</v>
      </c>
      <c r="X10" s="6">
        <v>374.44</v>
      </c>
      <c r="Y10" s="6">
        <v>374.47</v>
      </c>
      <c r="Z10" s="6">
        <f t="shared" si="6"/>
        <v>374.45500000000004</v>
      </c>
      <c r="AA10" s="6">
        <v>378.48</v>
      </c>
      <c r="AB10" s="6">
        <v>378.51</v>
      </c>
      <c r="AC10" s="6">
        <f t="shared" si="7"/>
        <v>378.495</v>
      </c>
      <c r="AD10" s="6">
        <v>371.59</v>
      </c>
      <c r="AE10" s="6">
        <v>371.67</v>
      </c>
      <c r="AF10" s="6">
        <f t="shared" si="8"/>
        <v>371.63</v>
      </c>
    </row>
    <row r="11" spans="1:32" x14ac:dyDescent="0.35">
      <c r="A11" s="6">
        <v>70</v>
      </c>
      <c r="B11" s="6">
        <v>531.54999999999995</v>
      </c>
      <c r="C11" s="6">
        <v>531.64</v>
      </c>
      <c r="D11" s="7">
        <f t="shared" si="0"/>
        <v>531.59500000000003</v>
      </c>
      <c r="E11" s="6">
        <v>526.72</v>
      </c>
      <c r="F11" s="6">
        <v>526.80999999999995</v>
      </c>
      <c r="G11" s="6">
        <f t="shared" si="1"/>
        <v>526.76499999999999</v>
      </c>
      <c r="H11" s="6">
        <v>526.33000000000004</v>
      </c>
      <c r="I11" s="6">
        <v>526.25</v>
      </c>
      <c r="J11" s="7">
        <f t="shared" si="2"/>
        <v>526.29</v>
      </c>
      <c r="L11" s="6">
        <v>70</v>
      </c>
      <c r="M11" s="6">
        <v>478.44</v>
      </c>
      <c r="N11" s="6">
        <v>478.44</v>
      </c>
      <c r="O11" s="6">
        <f t="shared" si="3"/>
        <v>478.44</v>
      </c>
      <c r="P11" s="6">
        <v>474.36</v>
      </c>
      <c r="Q11" s="6">
        <v>474.39</v>
      </c>
      <c r="R11" s="7">
        <f t="shared" si="4"/>
        <v>474.375</v>
      </c>
      <c r="S11" s="6">
        <v>473.39</v>
      </c>
      <c r="T11" s="6">
        <v>473.4</v>
      </c>
      <c r="U11" s="6">
        <f t="shared" si="5"/>
        <v>473.39499999999998</v>
      </c>
      <c r="W11" s="6">
        <v>70</v>
      </c>
      <c r="X11" s="6">
        <v>375.4</v>
      </c>
      <c r="Y11" s="6">
        <v>375.37</v>
      </c>
      <c r="Z11" s="6">
        <f t="shared" si="6"/>
        <v>375.38499999999999</v>
      </c>
      <c r="AA11" s="6">
        <v>380.1</v>
      </c>
      <c r="AB11" s="6">
        <v>380.04</v>
      </c>
      <c r="AC11" s="6">
        <f t="shared" si="7"/>
        <v>380.07000000000005</v>
      </c>
      <c r="AD11" s="6">
        <v>371.25</v>
      </c>
      <c r="AE11" s="6">
        <v>371.29</v>
      </c>
      <c r="AF11" s="6">
        <f t="shared" si="8"/>
        <v>371.27</v>
      </c>
    </row>
    <row r="12" spans="1:32" x14ac:dyDescent="0.35">
      <c r="A12" s="6">
        <v>75</v>
      </c>
      <c r="B12" s="6">
        <v>533.72</v>
      </c>
      <c r="C12" s="6">
        <v>533.82000000000005</v>
      </c>
      <c r="D12" s="7">
        <f t="shared" si="0"/>
        <v>533.77</v>
      </c>
      <c r="E12" s="6">
        <v>527.1</v>
      </c>
      <c r="F12" s="6">
        <v>527.20000000000005</v>
      </c>
      <c r="G12" s="6">
        <f t="shared" si="1"/>
        <v>527.15000000000009</v>
      </c>
      <c r="H12" s="6">
        <v>527.09</v>
      </c>
      <c r="I12" s="6">
        <v>527.05999999999995</v>
      </c>
      <c r="J12" s="7">
        <f t="shared" si="2"/>
        <v>527.07500000000005</v>
      </c>
      <c r="L12" s="6">
        <v>75</v>
      </c>
      <c r="M12" s="6">
        <v>480.3</v>
      </c>
      <c r="N12" s="6">
        <v>480.29</v>
      </c>
      <c r="O12" s="6">
        <f t="shared" si="3"/>
        <v>480.29500000000002</v>
      </c>
      <c r="P12" s="6">
        <v>478.66</v>
      </c>
      <c r="Q12" s="6">
        <v>479.22</v>
      </c>
      <c r="R12" s="7">
        <f t="shared" si="4"/>
        <v>478.94000000000005</v>
      </c>
      <c r="S12" s="6">
        <v>475.1</v>
      </c>
      <c r="T12" s="6">
        <v>474.9</v>
      </c>
      <c r="U12" s="6">
        <f t="shared" si="5"/>
        <v>475</v>
      </c>
      <c r="W12" s="6">
        <v>75</v>
      </c>
      <c r="X12" s="6">
        <v>376.76</v>
      </c>
      <c r="Y12" s="6">
        <v>376.61</v>
      </c>
      <c r="Z12" s="6">
        <f t="shared" si="6"/>
        <v>376.685</v>
      </c>
      <c r="AA12" s="6">
        <v>397.85</v>
      </c>
      <c r="AB12" s="6">
        <v>399.51</v>
      </c>
      <c r="AC12" s="6">
        <f t="shared" si="7"/>
        <v>398.68</v>
      </c>
      <c r="AD12" s="6">
        <v>370.11</v>
      </c>
      <c r="AE12" s="6">
        <v>370.08</v>
      </c>
      <c r="AF12" s="6">
        <f t="shared" si="8"/>
        <v>370.09500000000003</v>
      </c>
    </row>
    <row r="13" spans="1:32" x14ac:dyDescent="0.35">
      <c r="A13" s="6"/>
      <c r="B13" s="6"/>
      <c r="C13" s="6"/>
      <c r="D13" s="7"/>
      <c r="E13" s="6"/>
      <c r="F13" s="6"/>
      <c r="G13" s="6"/>
      <c r="H13" s="6"/>
      <c r="I13" s="6"/>
      <c r="J13" s="6"/>
      <c r="L13" s="6">
        <v>80</v>
      </c>
      <c r="M13" s="6"/>
      <c r="N13" s="6"/>
      <c r="O13" s="6"/>
      <c r="P13" s="6"/>
      <c r="Q13" s="6"/>
      <c r="R13" s="6"/>
      <c r="S13" s="6"/>
      <c r="T13" s="6"/>
      <c r="U13" s="6"/>
      <c r="W13" s="6">
        <v>80</v>
      </c>
      <c r="X13" s="6"/>
      <c r="Y13" s="6"/>
      <c r="Z13" s="6"/>
      <c r="AA13" s="6"/>
      <c r="AB13" s="6"/>
      <c r="AC13" s="6"/>
      <c r="AD13" s="6"/>
      <c r="AE13" s="6"/>
      <c r="AF13" s="6"/>
    </row>
    <row r="15" spans="1:32" x14ac:dyDescent="0.35">
      <c r="A15" s="52" t="s">
        <v>32</v>
      </c>
      <c r="B15" s="52"/>
      <c r="C15" s="52"/>
      <c r="D15" s="52"/>
      <c r="E15" s="52"/>
      <c r="F15" s="52"/>
      <c r="G15" s="52"/>
      <c r="H15" s="52"/>
      <c r="I15" s="52"/>
      <c r="J15" s="52"/>
      <c r="L15" s="52" t="s">
        <v>32</v>
      </c>
      <c r="M15" s="52"/>
      <c r="N15" s="52"/>
      <c r="O15" s="52"/>
      <c r="P15" s="52"/>
      <c r="Q15" s="52"/>
      <c r="R15" s="52"/>
      <c r="S15" s="52"/>
      <c r="T15" s="52"/>
      <c r="U15" s="52"/>
    </row>
    <row r="16" spans="1:32" x14ac:dyDescent="0.35">
      <c r="A16" s="6" t="s">
        <v>1</v>
      </c>
      <c r="B16" s="49" t="s">
        <v>22</v>
      </c>
      <c r="C16" s="49"/>
      <c r="D16" s="21" t="s">
        <v>23</v>
      </c>
      <c r="E16" s="50" t="s">
        <v>24</v>
      </c>
      <c r="F16" s="50"/>
      <c r="G16" s="22" t="s">
        <v>23</v>
      </c>
      <c r="H16" s="51" t="s">
        <v>25</v>
      </c>
      <c r="I16" s="51"/>
      <c r="J16" s="23" t="s">
        <v>23</v>
      </c>
      <c r="L16" s="6" t="s">
        <v>1</v>
      </c>
      <c r="M16" s="49" t="s">
        <v>26</v>
      </c>
      <c r="N16" s="49"/>
      <c r="O16" s="21" t="s">
        <v>23</v>
      </c>
      <c r="P16" s="50" t="s">
        <v>27</v>
      </c>
      <c r="Q16" s="50"/>
      <c r="R16" s="22" t="s">
        <v>23</v>
      </c>
      <c r="S16" s="51" t="s">
        <v>28</v>
      </c>
      <c r="T16" s="51"/>
      <c r="U16" s="23" t="s">
        <v>23</v>
      </c>
      <c r="W16" s="6" t="s">
        <v>1</v>
      </c>
      <c r="X16" s="49" t="s">
        <v>29</v>
      </c>
      <c r="Y16" s="49"/>
      <c r="Z16" s="21" t="s">
        <v>23</v>
      </c>
      <c r="AA16" s="50" t="s">
        <v>30</v>
      </c>
      <c r="AB16" s="50"/>
      <c r="AC16" s="22" t="s">
        <v>23</v>
      </c>
      <c r="AD16" s="51" t="s">
        <v>31</v>
      </c>
      <c r="AE16" s="51"/>
      <c r="AF16" s="23" t="s">
        <v>23</v>
      </c>
    </row>
    <row r="17" spans="1:32" x14ac:dyDescent="0.35">
      <c r="A17" s="6">
        <v>30</v>
      </c>
      <c r="B17" s="6">
        <v>3.9</v>
      </c>
      <c r="C17" s="6">
        <v>3.9</v>
      </c>
      <c r="D17" s="6">
        <f>AVERAGE(B17:C17)</f>
        <v>3.9</v>
      </c>
      <c r="E17" s="6">
        <v>3.72</v>
      </c>
      <c r="F17" s="6">
        <v>3.72</v>
      </c>
      <c r="G17" s="6">
        <f>AVERAGE(E17:F17)</f>
        <v>3.72</v>
      </c>
      <c r="H17" s="6">
        <v>3.77</v>
      </c>
      <c r="I17" s="6">
        <v>3.77</v>
      </c>
      <c r="J17" s="6">
        <f>AVERAGE(H17:I17)</f>
        <v>3.77</v>
      </c>
      <c r="L17" s="6">
        <v>30</v>
      </c>
      <c r="M17" s="6">
        <v>3.74</v>
      </c>
      <c r="N17" s="6">
        <v>3.74</v>
      </c>
      <c r="O17" s="6">
        <f>AVERAGE(M17:N17)</f>
        <v>3.74</v>
      </c>
      <c r="P17" s="6">
        <v>3.5</v>
      </c>
      <c r="Q17" s="6">
        <v>3.5</v>
      </c>
      <c r="R17" s="6">
        <f>AVERAGE(P17:Q17)</f>
        <v>3.5</v>
      </c>
      <c r="S17" s="6">
        <v>3.56</v>
      </c>
      <c r="T17" s="6">
        <v>3.56</v>
      </c>
      <c r="U17" s="6">
        <f>AVERAGE(S17:T17)</f>
        <v>3.56</v>
      </c>
      <c r="W17" s="6">
        <v>30</v>
      </c>
      <c r="X17" s="6">
        <v>3.36</v>
      </c>
      <c r="Y17" s="6">
        <v>3.36</v>
      </c>
      <c r="Z17" s="6">
        <f>AVERAGE(X17:Y17)</f>
        <v>3.36</v>
      </c>
      <c r="AA17" s="6">
        <v>3.07</v>
      </c>
      <c r="AB17" s="6">
        <v>3.07</v>
      </c>
      <c r="AC17" s="6">
        <f>AVERAGE(AA17:AB17)</f>
        <v>3.07</v>
      </c>
      <c r="AD17" s="6">
        <v>3.16</v>
      </c>
      <c r="AE17" s="6">
        <v>3.16</v>
      </c>
      <c r="AF17" s="6">
        <f>AVERAGE(AD17:AE17)</f>
        <v>3.16</v>
      </c>
    </row>
    <row r="18" spans="1:32" x14ac:dyDescent="0.35">
      <c r="A18" s="6">
        <v>35</v>
      </c>
      <c r="B18" s="6">
        <v>3.92</v>
      </c>
      <c r="C18" s="6">
        <v>3.92</v>
      </c>
      <c r="D18" s="6">
        <f t="shared" ref="D18:D26" si="9">AVERAGE(B18:C18)</f>
        <v>3.92</v>
      </c>
      <c r="E18" s="6">
        <v>3.74</v>
      </c>
      <c r="F18" s="6">
        <v>3.74</v>
      </c>
      <c r="G18" s="6">
        <f t="shared" ref="G18:G26" si="10">AVERAGE(E18:F18)</f>
        <v>3.74</v>
      </c>
      <c r="H18" s="6">
        <v>3.79</v>
      </c>
      <c r="I18" s="6">
        <v>3.79</v>
      </c>
      <c r="J18" s="6">
        <f t="shared" ref="J18:J26" si="11">AVERAGE(H18:I18)</f>
        <v>3.79</v>
      </c>
      <c r="L18" s="6">
        <v>35</v>
      </c>
      <c r="M18" s="6">
        <v>3.78</v>
      </c>
      <c r="N18" s="6">
        <v>3.78</v>
      </c>
      <c r="O18" s="6">
        <f t="shared" ref="O18:O26" si="12">AVERAGE(M18:N18)</f>
        <v>3.78</v>
      </c>
      <c r="P18" s="6">
        <v>3.52</v>
      </c>
      <c r="Q18" s="6">
        <v>3.52</v>
      </c>
      <c r="R18" s="6">
        <f t="shared" ref="R18:R26" si="13">AVERAGE(P18:Q18)</f>
        <v>3.52</v>
      </c>
      <c r="S18" s="6">
        <v>3.59</v>
      </c>
      <c r="T18" s="6">
        <v>3.59</v>
      </c>
      <c r="U18" s="6">
        <f t="shared" ref="U18:U26" si="14">AVERAGE(S18:T18)</f>
        <v>3.59</v>
      </c>
      <c r="W18" s="6">
        <v>35</v>
      </c>
      <c r="X18" s="6">
        <v>3.4</v>
      </c>
      <c r="Y18" s="6">
        <v>3.4</v>
      </c>
      <c r="Z18" s="6">
        <f t="shared" ref="Z18:Z26" si="15">AVERAGE(X18:Y18)</f>
        <v>3.4</v>
      </c>
      <c r="AA18" s="6">
        <v>3.1</v>
      </c>
      <c r="AB18" s="6">
        <v>3.11</v>
      </c>
      <c r="AC18" s="6">
        <f t="shared" ref="AC18:AC26" si="16">AVERAGE(AA18:AB18)</f>
        <v>3.105</v>
      </c>
      <c r="AD18" s="6">
        <v>3.2</v>
      </c>
      <c r="AE18" s="6">
        <v>3.2</v>
      </c>
      <c r="AF18" s="6">
        <f t="shared" ref="AF18:AF26" si="17">AVERAGE(AD18:AE18)</f>
        <v>3.2</v>
      </c>
    </row>
    <row r="19" spans="1:32" x14ac:dyDescent="0.35">
      <c r="A19" s="6">
        <v>40</v>
      </c>
      <c r="B19" s="6">
        <v>3.94</v>
      </c>
      <c r="C19" s="6">
        <v>3.94</v>
      </c>
      <c r="D19" s="6">
        <f t="shared" si="9"/>
        <v>3.94</v>
      </c>
      <c r="E19" s="6">
        <v>3.76</v>
      </c>
      <c r="F19" s="6">
        <v>3.76</v>
      </c>
      <c r="G19" s="6">
        <f t="shared" si="10"/>
        <v>3.76</v>
      </c>
      <c r="H19" s="6">
        <v>3.81</v>
      </c>
      <c r="I19" s="6">
        <v>3.8</v>
      </c>
      <c r="J19" s="6">
        <f t="shared" si="11"/>
        <v>3.8049999999999997</v>
      </c>
      <c r="L19" s="6">
        <v>40</v>
      </c>
      <c r="M19" s="6">
        <v>3.8</v>
      </c>
      <c r="N19" s="6">
        <v>3.8</v>
      </c>
      <c r="O19" s="6">
        <f t="shared" si="12"/>
        <v>3.8</v>
      </c>
      <c r="P19" s="6">
        <v>3.55</v>
      </c>
      <c r="Q19" s="6">
        <v>3.55</v>
      </c>
      <c r="R19" s="6">
        <f t="shared" si="13"/>
        <v>3.55</v>
      </c>
      <c r="S19" s="6">
        <v>3.62</v>
      </c>
      <c r="T19" s="6">
        <v>3.62</v>
      </c>
      <c r="U19" s="6">
        <f t="shared" si="14"/>
        <v>3.62</v>
      </c>
      <c r="W19" s="6">
        <v>40</v>
      </c>
      <c r="X19" s="6">
        <v>3.44</v>
      </c>
      <c r="Y19" s="6">
        <v>3.44</v>
      </c>
      <c r="Z19" s="6">
        <f t="shared" si="15"/>
        <v>3.44</v>
      </c>
      <c r="AA19" s="6">
        <v>3.14</v>
      </c>
      <c r="AB19" s="6">
        <v>3.14</v>
      </c>
      <c r="AC19" s="6">
        <f t="shared" si="16"/>
        <v>3.14</v>
      </c>
      <c r="AD19" s="6">
        <v>3.24</v>
      </c>
      <c r="AE19" s="6">
        <v>3.24</v>
      </c>
      <c r="AF19" s="6">
        <f t="shared" si="17"/>
        <v>3.24</v>
      </c>
    </row>
    <row r="20" spans="1:32" x14ac:dyDescent="0.35">
      <c r="A20" s="6">
        <v>45</v>
      </c>
      <c r="B20" s="6">
        <v>3.96</v>
      </c>
      <c r="C20" s="6">
        <v>3.96</v>
      </c>
      <c r="D20" s="6">
        <f t="shared" si="9"/>
        <v>3.96</v>
      </c>
      <c r="E20" s="6">
        <v>3.77</v>
      </c>
      <c r="F20" s="6">
        <v>3.77</v>
      </c>
      <c r="G20" s="6">
        <f t="shared" si="10"/>
        <v>3.77</v>
      </c>
      <c r="H20" s="6">
        <v>3.82</v>
      </c>
      <c r="I20" s="6">
        <v>3.82</v>
      </c>
      <c r="J20" s="6">
        <f t="shared" si="11"/>
        <v>3.82</v>
      </c>
      <c r="L20" s="6">
        <v>45</v>
      </c>
      <c r="M20" s="6">
        <v>3.83</v>
      </c>
      <c r="N20" s="6">
        <v>3.83</v>
      </c>
      <c r="O20" s="6">
        <f t="shared" si="12"/>
        <v>3.83</v>
      </c>
      <c r="P20" s="6">
        <v>3.57</v>
      </c>
      <c r="Q20" s="6">
        <v>3.57</v>
      </c>
      <c r="R20" s="6">
        <f t="shared" si="13"/>
        <v>3.57</v>
      </c>
      <c r="S20" s="6">
        <v>3.64</v>
      </c>
      <c r="T20" s="6">
        <v>3.64</v>
      </c>
      <c r="U20" s="6">
        <f t="shared" si="14"/>
        <v>3.64</v>
      </c>
      <c r="W20" s="6">
        <v>45</v>
      </c>
      <c r="X20" s="6">
        <v>3.49</v>
      </c>
      <c r="Y20" s="6">
        <v>3.48</v>
      </c>
      <c r="Z20" s="6">
        <f t="shared" si="15"/>
        <v>3.4850000000000003</v>
      </c>
      <c r="AA20" s="6">
        <v>3.17</v>
      </c>
      <c r="AB20" s="6">
        <v>3.17</v>
      </c>
      <c r="AC20" s="6">
        <f t="shared" si="16"/>
        <v>3.17</v>
      </c>
      <c r="AD20" s="6">
        <v>3.28</v>
      </c>
      <c r="AE20" s="6">
        <v>3.28</v>
      </c>
      <c r="AF20" s="6">
        <f t="shared" si="17"/>
        <v>3.28</v>
      </c>
    </row>
    <row r="21" spans="1:32" x14ac:dyDescent="0.35">
      <c r="A21" s="6">
        <v>50</v>
      </c>
      <c r="B21" s="6">
        <v>3.97</v>
      </c>
      <c r="C21" s="6">
        <v>3.97</v>
      </c>
      <c r="D21" s="6">
        <f t="shared" si="9"/>
        <v>3.97</v>
      </c>
      <c r="E21" s="6">
        <v>3.78</v>
      </c>
      <c r="F21" s="6">
        <v>3.78</v>
      </c>
      <c r="G21" s="6">
        <f t="shared" si="10"/>
        <v>3.78</v>
      </c>
      <c r="H21" s="6">
        <v>3.83</v>
      </c>
      <c r="I21" s="6">
        <v>3.83</v>
      </c>
      <c r="J21" s="6">
        <f t="shared" si="11"/>
        <v>3.83</v>
      </c>
      <c r="L21" s="6">
        <v>50</v>
      </c>
      <c r="M21" s="6">
        <v>3.85</v>
      </c>
      <c r="N21" s="6">
        <v>3.85</v>
      </c>
      <c r="O21" s="6">
        <f t="shared" si="12"/>
        <v>3.85</v>
      </c>
      <c r="P21" s="6">
        <v>3.59</v>
      </c>
      <c r="Q21" s="6">
        <v>3.59</v>
      </c>
      <c r="R21" s="6">
        <f t="shared" si="13"/>
        <v>3.59</v>
      </c>
      <c r="S21" s="6">
        <v>3.66</v>
      </c>
      <c r="T21" s="6">
        <v>3.66</v>
      </c>
      <c r="U21" s="6">
        <f t="shared" si="14"/>
        <v>3.66</v>
      </c>
      <c r="W21" s="6">
        <v>50</v>
      </c>
      <c r="X21" s="6">
        <v>3.53</v>
      </c>
      <c r="Y21" s="6">
        <v>3.53</v>
      </c>
      <c r="Z21" s="6">
        <f t="shared" si="15"/>
        <v>3.53</v>
      </c>
      <c r="AA21" s="6">
        <v>3.2</v>
      </c>
      <c r="AB21" s="6">
        <v>3.2</v>
      </c>
      <c r="AC21" s="6">
        <f t="shared" si="16"/>
        <v>3.2</v>
      </c>
      <c r="AD21" s="6">
        <v>3.31</v>
      </c>
      <c r="AE21" s="6">
        <v>3.31</v>
      </c>
      <c r="AF21" s="6">
        <f t="shared" si="17"/>
        <v>3.31</v>
      </c>
    </row>
    <row r="22" spans="1:32" x14ac:dyDescent="0.35">
      <c r="A22" s="6">
        <v>55</v>
      </c>
      <c r="B22" s="6">
        <v>3.98</v>
      </c>
      <c r="C22" s="6">
        <v>3.98</v>
      </c>
      <c r="D22" s="6">
        <f t="shared" si="9"/>
        <v>3.98</v>
      </c>
      <c r="E22" s="6">
        <v>3.78</v>
      </c>
      <c r="F22" s="6">
        <v>3.78</v>
      </c>
      <c r="G22" s="6">
        <f t="shared" si="10"/>
        <v>3.78</v>
      </c>
      <c r="H22" s="6">
        <v>3.84</v>
      </c>
      <c r="I22" s="6">
        <v>3.84</v>
      </c>
      <c r="J22" s="6">
        <f t="shared" si="11"/>
        <v>3.84</v>
      </c>
      <c r="L22" s="6">
        <v>55</v>
      </c>
      <c r="M22" s="6">
        <v>3.88</v>
      </c>
      <c r="N22" s="6">
        <v>3.87</v>
      </c>
      <c r="O22" s="6">
        <f t="shared" si="12"/>
        <v>3.875</v>
      </c>
      <c r="P22" s="6">
        <v>3.61</v>
      </c>
      <c r="Q22" s="6">
        <v>3.61</v>
      </c>
      <c r="R22" s="6">
        <f t="shared" si="13"/>
        <v>3.61</v>
      </c>
      <c r="S22" s="6">
        <v>3.68</v>
      </c>
      <c r="T22" s="6">
        <v>3.68</v>
      </c>
      <c r="U22" s="6">
        <f t="shared" si="14"/>
        <v>3.68</v>
      </c>
      <c r="W22" s="6">
        <v>55</v>
      </c>
      <c r="X22" s="6">
        <v>3.57</v>
      </c>
      <c r="Y22" s="6">
        <v>3.57</v>
      </c>
      <c r="Z22" s="6">
        <f t="shared" si="15"/>
        <v>3.57</v>
      </c>
      <c r="AA22" s="6">
        <v>3.24</v>
      </c>
      <c r="AB22" s="6">
        <v>3.24</v>
      </c>
      <c r="AC22" s="6">
        <f t="shared" si="16"/>
        <v>3.24</v>
      </c>
      <c r="AD22" s="6">
        <v>3.35</v>
      </c>
      <c r="AE22" s="6">
        <v>3.35</v>
      </c>
      <c r="AF22" s="6">
        <f t="shared" si="17"/>
        <v>3.35</v>
      </c>
    </row>
    <row r="23" spans="1:32" x14ac:dyDescent="0.35">
      <c r="A23" s="6">
        <v>60</v>
      </c>
      <c r="B23" s="6">
        <v>3.99</v>
      </c>
      <c r="C23" s="6">
        <v>3.99</v>
      </c>
      <c r="D23" s="6">
        <f t="shared" si="9"/>
        <v>3.99</v>
      </c>
      <c r="E23" s="6">
        <v>3.78</v>
      </c>
      <c r="F23" s="6">
        <v>3.78</v>
      </c>
      <c r="G23" s="6">
        <f t="shared" si="10"/>
        <v>3.78</v>
      </c>
      <c r="H23" s="6">
        <v>3.84</v>
      </c>
      <c r="I23" s="6">
        <v>3.84</v>
      </c>
      <c r="J23" s="6">
        <f t="shared" si="11"/>
        <v>3.84</v>
      </c>
      <c r="L23" s="6">
        <v>60</v>
      </c>
      <c r="M23" s="6">
        <v>3.89</v>
      </c>
      <c r="N23" s="6">
        <v>3.89</v>
      </c>
      <c r="O23" s="6">
        <f t="shared" si="12"/>
        <v>3.89</v>
      </c>
      <c r="P23" s="6">
        <v>3.63</v>
      </c>
      <c r="Q23" s="6">
        <v>3.63</v>
      </c>
      <c r="R23" s="6">
        <f t="shared" si="13"/>
        <v>3.63</v>
      </c>
      <c r="S23" s="6">
        <v>3.69</v>
      </c>
      <c r="T23" s="6">
        <v>3.69</v>
      </c>
      <c r="U23" s="6">
        <f t="shared" si="14"/>
        <v>3.69</v>
      </c>
      <c r="W23" s="6">
        <v>60</v>
      </c>
      <c r="X23" s="6">
        <v>3.61</v>
      </c>
      <c r="Y23" s="6">
        <v>3.61</v>
      </c>
      <c r="Z23" s="6">
        <f t="shared" si="15"/>
        <v>3.61</v>
      </c>
      <c r="AA23" s="6">
        <v>3.26</v>
      </c>
      <c r="AB23" s="6">
        <v>3.26</v>
      </c>
      <c r="AC23" s="6">
        <f t="shared" si="16"/>
        <v>3.26</v>
      </c>
      <c r="AD23" s="6">
        <v>3.38</v>
      </c>
      <c r="AE23" s="6">
        <v>3.38</v>
      </c>
      <c r="AF23" s="6">
        <f t="shared" si="17"/>
        <v>3.38</v>
      </c>
    </row>
    <row r="24" spans="1:32" x14ac:dyDescent="0.35">
      <c r="A24" s="6">
        <v>65</v>
      </c>
      <c r="B24" s="6">
        <v>3.99</v>
      </c>
      <c r="C24" s="6">
        <v>3.99</v>
      </c>
      <c r="D24" s="6">
        <f t="shared" si="9"/>
        <v>3.99</v>
      </c>
      <c r="E24" s="6">
        <v>3.79</v>
      </c>
      <c r="F24" s="6">
        <v>3.79</v>
      </c>
      <c r="G24" s="6">
        <f t="shared" si="10"/>
        <v>3.79</v>
      </c>
      <c r="H24" s="6">
        <v>3.85</v>
      </c>
      <c r="I24" s="6">
        <v>3.85</v>
      </c>
      <c r="J24" s="6">
        <f t="shared" si="11"/>
        <v>3.85</v>
      </c>
      <c r="L24" s="6">
        <v>65</v>
      </c>
      <c r="M24" s="6">
        <v>3.91</v>
      </c>
      <c r="N24" s="6">
        <v>3.91</v>
      </c>
      <c r="O24" s="6">
        <f t="shared" si="12"/>
        <v>3.91</v>
      </c>
      <c r="P24" s="6">
        <v>3.64</v>
      </c>
      <c r="Q24" s="6">
        <v>3.64</v>
      </c>
      <c r="R24" s="6">
        <f t="shared" si="13"/>
        <v>3.64</v>
      </c>
      <c r="S24" s="6">
        <v>3.71</v>
      </c>
      <c r="T24" s="6">
        <v>3.71</v>
      </c>
      <c r="U24" s="6">
        <f t="shared" si="14"/>
        <v>3.71</v>
      </c>
      <c r="W24" s="6">
        <v>65</v>
      </c>
      <c r="X24" s="6">
        <v>3.65</v>
      </c>
      <c r="Y24" s="6">
        <v>3.65</v>
      </c>
      <c r="Z24" s="6">
        <f t="shared" si="15"/>
        <v>3.65</v>
      </c>
      <c r="AA24" s="6">
        <v>3.3</v>
      </c>
      <c r="AB24" s="6">
        <v>3.3</v>
      </c>
      <c r="AC24" s="6">
        <f t="shared" si="16"/>
        <v>3.3</v>
      </c>
      <c r="AD24" s="6">
        <v>3.41</v>
      </c>
      <c r="AE24" s="6">
        <v>3.41</v>
      </c>
      <c r="AF24" s="6">
        <f t="shared" si="17"/>
        <v>3.41</v>
      </c>
    </row>
    <row r="25" spans="1:32" x14ac:dyDescent="0.35">
      <c r="A25" s="6">
        <v>70</v>
      </c>
      <c r="B25" s="6">
        <v>3.99</v>
      </c>
      <c r="C25" s="6">
        <v>3.99</v>
      </c>
      <c r="D25" s="6">
        <f t="shared" si="9"/>
        <v>3.99</v>
      </c>
      <c r="E25" s="6">
        <v>3.79</v>
      </c>
      <c r="F25" s="6">
        <v>3.79</v>
      </c>
      <c r="G25" s="6">
        <f t="shared" si="10"/>
        <v>3.79</v>
      </c>
      <c r="H25" s="6">
        <v>3.85</v>
      </c>
      <c r="I25" s="6">
        <v>3.85</v>
      </c>
      <c r="J25" s="6">
        <f t="shared" si="11"/>
        <v>3.85</v>
      </c>
      <c r="L25" s="6">
        <v>70</v>
      </c>
      <c r="M25" s="6">
        <v>3.93</v>
      </c>
      <c r="N25" s="6">
        <v>3.93</v>
      </c>
      <c r="O25" s="6">
        <f t="shared" si="12"/>
        <v>3.93</v>
      </c>
      <c r="P25" s="6">
        <v>3.65</v>
      </c>
      <c r="Q25" s="6">
        <v>3.65</v>
      </c>
      <c r="R25" s="6">
        <f t="shared" si="13"/>
        <v>3.65</v>
      </c>
      <c r="S25" s="6">
        <v>3.72</v>
      </c>
      <c r="T25" s="6">
        <v>3.72</v>
      </c>
      <c r="U25" s="6">
        <f t="shared" si="14"/>
        <v>3.72</v>
      </c>
      <c r="W25" s="6">
        <v>70</v>
      </c>
      <c r="X25" s="6">
        <v>3.68</v>
      </c>
      <c r="Y25" s="6">
        <v>3.68</v>
      </c>
      <c r="Z25" s="6">
        <f t="shared" si="15"/>
        <v>3.68</v>
      </c>
      <c r="AA25" s="6">
        <v>3.33</v>
      </c>
      <c r="AB25" s="6">
        <v>3.33</v>
      </c>
      <c r="AC25" s="6">
        <f t="shared" si="16"/>
        <v>3.33</v>
      </c>
      <c r="AD25" s="6">
        <v>3.44</v>
      </c>
      <c r="AE25" s="6">
        <v>3.44</v>
      </c>
      <c r="AF25" s="6">
        <f t="shared" si="17"/>
        <v>3.44</v>
      </c>
    </row>
    <row r="26" spans="1:32" x14ac:dyDescent="0.35">
      <c r="A26" s="6">
        <v>75</v>
      </c>
      <c r="B26" s="6">
        <v>4</v>
      </c>
      <c r="C26" s="6">
        <v>4</v>
      </c>
      <c r="D26" s="6">
        <f t="shared" si="9"/>
        <v>4</v>
      </c>
      <c r="E26" s="6">
        <v>3.79</v>
      </c>
      <c r="F26" s="6">
        <v>3.79</v>
      </c>
      <c r="G26" s="6">
        <f t="shared" si="10"/>
        <v>3.79</v>
      </c>
      <c r="H26" s="6">
        <v>3.85</v>
      </c>
      <c r="I26" s="6">
        <v>3.85</v>
      </c>
      <c r="J26" s="6">
        <f t="shared" si="11"/>
        <v>3.85</v>
      </c>
      <c r="L26" s="6">
        <v>75</v>
      </c>
      <c r="M26" s="6">
        <v>3.94</v>
      </c>
      <c r="N26" s="6">
        <v>3.94</v>
      </c>
      <c r="O26" s="6">
        <f t="shared" si="12"/>
        <v>3.94</v>
      </c>
      <c r="P26" s="6">
        <v>3.67</v>
      </c>
      <c r="Q26" s="6">
        <v>3.67</v>
      </c>
      <c r="R26" s="6">
        <f t="shared" si="13"/>
        <v>3.67</v>
      </c>
      <c r="S26" s="6">
        <v>3.74</v>
      </c>
      <c r="T26" s="6">
        <v>3.74</v>
      </c>
      <c r="U26" s="6">
        <f t="shared" si="14"/>
        <v>3.74</v>
      </c>
      <c r="W26" s="6">
        <v>75</v>
      </c>
      <c r="X26" s="6">
        <v>3.72</v>
      </c>
      <c r="Y26" s="6">
        <v>3.72</v>
      </c>
      <c r="Z26" s="6">
        <f t="shared" si="15"/>
        <v>3.72</v>
      </c>
      <c r="AA26" s="6">
        <v>3.41</v>
      </c>
      <c r="AB26" s="6">
        <v>3.42</v>
      </c>
      <c r="AC26" s="6">
        <f t="shared" si="16"/>
        <v>3.415</v>
      </c>
      <c r="AD26" s="6">
        <v>4.47</v>
      </c>
      <c r="AE26" s="6">
        <v>3.47</v>
      </c>
      <c r="AF26" s="6">
        <f t="shared" si="17"/>
        <v>3.9699999999999998</v>
      </c>
    </row>
    <row r="27" spans="1:3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  <c r="M27" s="6"/>
      <c r="N27" s="6"/>
      <c r="O27" s="6"/>
      <c r="P27" s="6"/>
      <c r="Q27" s="6"/>
      <c r="R27" s="6"/>
      <c r="S27" s="6"/>
      <c r="T27" s="6"/>
      <c r="U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</sheetData>
  <mergeCells count="21">
    <mergeCell ref="X16:Y16"/>
    <mergeCell ref="AA16:AB16"/>
    <mergeCell ref="AD16:AE16"/>
    <mergeCell ref="B16:C16"/>
    <mergeCell ref="E16:F16"/>
    <mergeCell ref="H16:I16"/>
    <mergeCell ref="M16:N16"/>
    <mergeCell ref="P16:Q16"/>
    <mergeCell ref="S16:T16"/>
    <mergeCell ref="S2:T2"/>
    <mergeCell ref="X2:Y2"/>
    <mergeCell ref="AA2:AB2"/>
    <mergeCell ref="AD2:AE2"/>
    <mergeCell ref="A15:J15"/>
    <mergeCell ref="L15:U15"/>
    <mergeCell ref="P2:Q2"/>
    <mergeCell ref="A1:I1"/>
    <mergeCell ref="B2:C2"/>
    <mergeCell ref="E2:F2"/>
    <mergeCell ref="H2:I2"/>
    <mergeCell ref="M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ECE6-9DF1-43D1-96D4-A6ED38855168}">
  <dimension ref="A1:W49"/>
  <sheetViews>
    <sheetView zoomScale="60" zoomScaleNormal="60" workbookViewId="0">
      <selection activeCell="L9" sqref="L9:L11"/>
    </sheetView>
  </sheetViews>
  <sheetFormatPr defaultRowHeight="14.5" x14ac:dyDescent="0.35"/>
  <cols>
    <col min="1" max="1" width="13" customWidth="1"/>
    <col min="2" max="2" width="12" customWidth="1"/>
    <col min="3" max="7" width="0" hidden="1" customWidth="1"/>
    <col min="8" max="8" width="13.453125" hidden="1" customWidth="1"/>
    <col min="9" max="9" width="15.7265625" hidden="1" customWidth="1"/>
    <col min="10" max="10" width="16.08984375" hidden="1" customWidth="1"/>
    <col min="11" max="11" width="13.453125" customWidth="1"/>
    <col min="12" max="12" width="10.54296875" customWidth="1"/>
    <col min="14" max="14" width="10.7265625" customWidth="1"/>
    <col min="15" max="15" width="9.7265625" customWidth="1"/>
    <col min="16" max="16" width="11" customWidth="1"/>
    <col min="17" max="17" width="10.7265625" customWidth="1"/>
    <col min="18" max="18" width="7.453125" customWidth="1"/>
    <col min="20" max="20" width="10.453125" customWidth="1"/>
    <col min="21" max="21" width="11.08984375" customWidth="1"/>
    <col min="22" max="22" width="9.90625" customWidth="1"/>
  </cols>
  <sheetData>
    <row r="1" spans="1:22" x14ac:dyDescent="0.35"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8"/>
    </row>
    <row r="2" spans="1:22" ht="51" customHeight="1" x14ac:dyDescent="0.35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3" t="s">
        <v>3</v>
      </c>
      <c r="L2" s="3" t="s">
        <v>4</v>
      </c>
      <c r="N2" s="2" t="s">
        <v>1</v>
      </c>
      <c r="O2" s="3" t="s">
        <v>5</v>
      </c>
      <c r="P2" s="4" t="s">
        <v>6</v>
      </c>
      <c r="Q2" s="3" t="s">
        <v>7</v>
      </c>
      <c r="S2" s="5" t="s">
        <v>1</v>
      </c>
      <c r="T2" s="3" t="s">
        <v>8</v>
      </c>
      <c r="U2" s="4" t="s">
        <v>9</v>
      </c>
      <c r="V2" s="3" t="s">
        <v>10</v>
      </c>
    </row>
    <row r="3" spans="1:22" x14ac:dyDescent="0.35">
      <c r="A3" s="6">
        <v>30</v>
      </c>
      <c r="B3" s="7">
        <v>0.99343999999999999</v>
      </c>
      <c r="C3" s="6"/>
      <c r="D3" s="6"/>
      <c r="E3" s="6"/>
      <c r="F3" s="6"/>
      <c r="G3" s="6"/>
      <c r="H3" s="6"/>
      <c r="I3" s="6"/>
      <c r="J3" s="8"/>
      <c r="K3" s="9">
        <v>1.0466899999999999</v>
      </c>
      <c r="L3" s="6">
        <v>1.0303500000000001</v>
      </c>
      <c r="N3" s="6">
        <v>30</v>
      </c>
      <c r="O3" s="7">
        <v>0.99185999999999996</v>
      </c>
      <c r="P3" s="6">
        <v>1.06593</v>
      </c>
      <c r="Q3" s="6">
        <v>1.04433</v>
      </c>
      <c r="S3" s="6">
        <v>30</v>
      </c>
      <c r="T3" s="7">
        <v>0.98477999999999999</v>
      </c>
      <c r="U3" s="6">
        <v>1.0898099999999999</v>
      </c>
      <c r="V3" s="6">
        <v>1.0461100000000001</v>
      </c>
    </row>
    <row r="4" spans="1:22" x14ac:dyDescent="0.35">
      <c r="A4" s="6">
        <v>35</v>
      </c>
      <c r="B4" s="7">
        <v>0.99112999999999996</v>
      </c>
      <c r="C4" s="6"/>
      <c r="D4" s="6"/>
      <c r="E4" s="6"/>
      <c r="F4" s="6"/>
      <c r="G4" s="6"/>
      <c r="H4" s="6"/>
      <c r="I4" s="6"/>
      <c r="J4" s="8"/>
      <c r="K4" s="9">
        <v>1.0441800000000001</v>
      </c>
      <c r="L4" s="6">
        <v>1.0277700000000001</v>
      </c>
      <c r="N4" s="6">
        <v>35</v>
      </c>
      <c r="O4" s="7">
        <v>0.98912</v>
      </c>
      <c r="P4" s="6">
        <v>1.0629200000000001</v>
      </c>
      <c r="Q4" s="6">
        <v>1.0413300000000001</v>
      </c>
      <c r="S4" s="6">
        <v>35</v>
      </c>
      <c r="T4" s="7">
        <v>0.98111999999999999</v>
      </c>
      <c r="U4" s="6">
        <v>1.08636</v>
      </c>
      <c r="V4" s="6">
        <v>1.0426500000000001</v>
      </c>
    </row>
    <row r="5" spans="1:22" x14ac:dyDescent="0.35">
      <c r="A5" s="6">
        <v>40</v>
      </c>
      <c r="B5" s="7">
        <v>0.98855000000000004</v>
      </c>
      <c r="C5" s="6"/>
      <c r="D5" s="6"/>
      <c r="E5" s="6"/>
      <c r="F5" s="6"/>
      <c r="G5" s="6"/>
      <c r="H5" s="6"/>
      <c r="I5" s="6"/>
      <c r="J5" s="8"/>
      <c r="K5" s="9">
        <v>1.04149</v>
      </c>
      <c r="L5" s="6">
        <v>1.02501</v>
      </c>
      <c r="N5" s="6">
        <v>40</v>
      </c>
      <c r="O5" s="7">
        <v>0.98619999999999997</v>
      </c>
      <c r="P5" s="6">
        <v>1.0598099999999999</v>
      </c>
      <c r="Q5" s="6">
        <v>1.0382</v>
      </c>
      <c r="S5" s="6">
        <v>40</v>
      </c>
      <c r="T5" s="7">
        <v>0.97740000000000005</v>
      </c>
      <c r="U5" s="6">
        <v>1.0828800000000001</v>
      </c>
      <c r="V5" s="6">
        <v>1.0391300000000001</v>
      </c>
    </row>
    <row r="6" spans="1:22" x14ac:dyDescent="0.35">
      <c r="J6" s="1"/>
      <c r="L6" s="10"/>
      <c r="T6" s="11"/>
    </row>
    <row r="7" spans="1:22" x14ac:dyDescent="0.35">
      <c r="A7" s="48" t="s">
        <v>11</v>
      </c>
      <c r="B7" s="48"/>
      <c r="C7" s="48"/>
      <c r="D7" s="48"/>
      <c r="E7" s="48"/>
      <c r="F7" s="48"/>
      <c r="G7" s="48"/>
      <c r="H7" s="48"/>
      <c r="I7" s="48"/>
      <c r="J7" s="48"/>
      <c r="K7" s="48"/>
    </row>
    <row r="8" spans="1:22" ht="52" customHeight="1" x14ac:dyDescent="0.35">
      <c r="A8" s="2" t="s">
        <v>1</v>
      </c>
      <c r="B8" s="3" t="s">
        <v>12</v>
      </c>
      <c r="C8" s="2"/>
      <c r="D8" s="2"/>
      <c r="E8" s="2"/>
      <c r="F8" s="2"/>
      <c r="G8" s="2"/>
      <c r="H8" s="2"/>
      <c r="I8" s="2"/>
      <c r="J8" s="2"/>
      <c r="K8" s="3" t="s">
        <v>13</v>
      </c>
      <c r="L8" s="12" t="s">
        <v>14</v>
      </c>
      <c r="N8" s="2" t="s">
        <v>1</v>
      </c>
      <c r="O8" s="3" t="s">
        <v>15</v>
      </c>
      <c r="P8" s="3" t="s">
        <v>16</v>
      </c>
      <c r="Q8" s="3" t="s">
        <v>17</v>
      </c>
      <c r="S8" s="2" t="s">
        <v>1</v>
      </c>
      <c r="T8" s="3" t="s">
        <v>18</v>
      </c>
      <c r="U8" s="3" t="s">
        <v>19</v>
      </c>
      <c r="V8" s="3" t="s">
        <v>20</v>
      </c>
    </row>
    <row r="9" spans="1:22" x14ac:dyDescent="0.35">
      <c r="A9" s="6">
        <v>30</v>
      </c>
      <c r="B9" s="7">
        <v>1.456</v>
      </c>
      <c r="C9" s="7"/>
      <c r="D9" s="7"/>
      <c r="E9" s="7"/>
      <c r="F9" s="7"/>
      <c r="G9" s="7"/>
      <c r="H9" s="7"/>
      <c r="I9" s="7"/>
      <c r="J9" s="13"/>
      <c r="K9" s="7">
        <v>1.661</v>
      </c>
      <c r="L9" s="7">
        <v>1.6279999999999999</v>
      </c>
      <c r="N9" s="6">
        <v>30</v>
      </c>
      <c r="O9" s="6">
        <v>2.2280000000000002</v>
      </c>
      <c r="P9" s="6">
        <v>2.9129999999999998</v>
      </c>
      <c r="Q9" s="6">
        <v>2.742</v>
      </c>
      <c r="S9" s="6">
        <v>30</v>
      </c>
      <c r="T9" s="6">
        <v>4.9530000000000003</v>
      </c>
      <c r="U9" s="6">
        <v>10.68</v>
      </c>
      <c r="V9" s="6">
        <v>8.1579999999999995</v>
      </c>
    </row>
    <row r="10" spans="1:22" x14ac:dyDescent="0.35">
      <c r="A10" s="6">
        <v>35</v>
      </c>
      <c r="B10" s="7">
        <v>1.246</v>
      </c>
      <c r="C10" s="7"/>
      <c r="D10" s="7"/>
      <c r="E10" s="7"/>
      <c r="F10" s="7"/>
      <c r="G10" s="7"/>
      <c r="H10" s="7"/>
      <c r="I10" s="7"/>
      <c r="J10" s="13"/>
      <c r="K10" s="7">
        <v>1.4379999999999999</v>
      </c>
      <c r="L10" s="7">
        <v>1.401</v>
      </c>
      <c r="N10" s="6">
        <v>35</v>
      </c>
      <c r="O10" s="6">
        <v>1.853</v>
      </c>
      <c r="P10" s="6">
        <v>2.4510000000000001</v>
      </c>
      <c r="Q10" s="6">
        <v>2.2989999999999999</v>
      </c>
      <c r="S10" s="6">
        <v>35</v>
      </c>
      <c r="T10" s="6">
        <v>3.9249999999999998</v>
      </c>
      <c r="U10" s="6">
        <v>8.44</v>
      </c>
      <c r="V10" s="6">
        <v>6.4420000000000002</v>
      </c>
    </row>
    <row r="11" spans="1:22" x14ac:dyDescent="0.35">
      <c r="A11" s="6">
        <v>40</v>
      </c>
      <c r="B11" s="7">
        <v>1.08</v>
      </c>
      <c r="C11" s="7"/>
      <c r="D11" s="7"/>
      <c r="E11" s="7"/>
      <c r="F11" s="7"/>
      <c r="G11" s="7"/>
      <c r="H11" s="7"/>
      <c r="I11" s="7"/>
      <c r="J11" s="13"/>
      <c r="K11" s="7">
        <v>1.258</v>
      </c>
      <c r="L11" s="7">
        <v>1.218</v>
      </c>
      <c r="N11" s="6">
        <v>40</v>
      </c>
      <c r="O11" s="6">
        <v>1.5660000000000001</v>
      </c>
      <c r="P11" s="6">
        <v>2.09</v>
      </c>
      <c r="Q11" s="6">
        <v>1.952</v>
      </c>
      <c r="S11" s="6">
        <v>40</v>
      </c>
      <c r="T11" s="6">
        <v>3.1779999999999999</v>
      </c>
      <c r="U11" s="6">
        <v>6.7949999999999999</v>
      </c>
      <c r="V11" s="6">
        <v>5.1959999999999997</v>
      </c>
    </row>
    <row r="12" spans="1:22" x14ac:dyDescent="0.35">
      <c r="B12" s="11"/>
      <c r="C12" s="11"/>
      <c r="D12" s="11"/>
      <c r="E12" s="11"/>
      <c r="F12" s="11"/>
      <c r="G12" s="11"/>
      <c r="H12" s="11"/>
      <c r="I12" s="11"/>
      <c r="J12" s="24"/>
      <c r="K12" s="11"/>
      <c r="L12" s="11"/>
    </row>
    <row r="13" spans="1:22" x14ac:dyDescent="0.35">
      <c r="A13" s="25"/>
      <c r="B13" s="53" t="s">
        <v>39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</row>
    <row r="14" spans="1:22" x14ac:dyDescent="0.35">
      <c r="A14" s="25"/>
      <c r="B14" s="25" t="s">
        <v>36</v>
      </c>
      <c r="C14" s="25"/>
      <c r="D14" s="25"/>
      <c r="E14" s="25"/>
      <c r="F14" s="25"/>
      <c r="G14" s="25"/>
      <c r="H14" s="25"/>
      <c r="I14" s="25"/>
      <c r="J14" s="25"/>
      <c r="K14" s="25" t="s">
        <v>37</v>
      </c>
      <c r="L14" s="25" t="s">
        <v>38</v>
      </c>
    </row>
    <row r="15" spans="1:22" x14ac:dyDescent="0.35">
      <c r="A15" s="25" t="s">
        <v>33</v>
      </c>
      <c r="B15" s="25">
        <v>0</v>
      </c>
      <c r="C15" s="25"/>
      <c r="D15" s="25"/>
      <c r="E15" s="25"/>
      <c r="F15" s="25"/>
      <c r="G15" s="25"/>
      <c r="H15" s="25"/>
      <c r="I15" s="25"/>
      <c r="J15" s="25"/>
      <c r="K15" s="25">
        <v>0</v>
      </c>
      <c r="L15" s="25">
        <v>0</v>
      </c>
    </row>
    <row r="16" spans="1:22" x14ac:dyDescent="0.35">
      <c r="A16" s="25" t="s">
        <v>34</v>
      </c>
      <c r="B16" s="25">
        <v>0.54</v>
      </c>
      <c r="C16" s="25"/>
      <c r="D16" s="25"/>
      <c r="E16" s="25"/>
      <c r="F16" s="25"/>
      <c r="G16" s="25"/>
      <c r="H16" s="25"/>
      <c r="I16" s="25"/>
      <c r="J16" s="25"/>
      <c r="K16" s="25">
        <v>0.49</v>
      </c>
      <c r="L16" s="25">
        <v>0.4</v>
      </c>
    </row>
    <row r="17" spans="1:23" x14ac:dyDescent="0.35">
      <c r="A17" s="25" t="s">
        <v>35</v>
      </c>
      <c r="B17" s="25">
        <v>0.36</v>
      </c>
      <c r="C17" s="25"/>
      <c r="D17" s="25"/>
      <c r="E17" s="25"/>
      <c r="F17" s="25"/>
      <c r="G17" s="25"/>
      <c r="H17" s="25"/>
      <c r="I17" s="25"/>
      <c r="J17" s="25"/>
      <c r="K17" s="25">
        <v>0.33</v>
      </c>
      <c r="L17" s="25">
        <v>0.28000000000000003</v>
      </c>
    </row>
    <row r="26" spans="1:23" x14ac:dyDescent="0.35">
      <c r="J26" s="1"/>
    </row>
    <row r="27" spans="1:23" x14ac:dyDescent="0.35">
      <c r="J27" s="1"/>
    </row>
    <row r="28" spans="1:23" x14ac:dyDescent="0.35">
      <c r="J28" s="1"/>
    </row>
    <row r="29" spans="1:23" x14ac:dyDescent="0.35">
      <c r="J29" s="1"/>
    </row>
    <row r="30" spans="1:23" ht="14.4" customHeight="1" x14ac:dyDescent="0.3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</row>
    <row r="31" spans="1:23" x14ac:dyDescent="0.35">
      <c r="A31" s="14"/>
      <c r="B31" s="15"/>
      <c r="C31" s="14"/>
      <c r="D31" s="14"/>
      <c r="E31" s="14"/>
      <c r="F31" s="14"/>
      <c r="G31" s="14"/>
      <c r="H31" s="14"/>
      <c r="I31" s="14"/>
      <c r="J31" s="14"/>
      <c r="K31" s="15"/>
      <c r="L31" s="16"/>
      <c r="N31" s="17"/>
      <c r="O31" s="18"/>
      <c r="P31" s="18"/>
      <c r="Q31" s="18"/>
      <c r="S31" s="19"/>
      <c r="T31" s="16"/>
      <c r="U31" s="16"/>
      <c r="V31" s="16"/>
      <c r="W31" s="19"/>
    </row>
    <row r="32" spans="1:23" ht="14.4" customHeight="1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N32" s="1"/>
      <c r="O32" s="1"/>
      <c r="P32" s="1"/>
      <c r="U32" s="1"/>
      <c r="V32" s="1"/>
      <c r="W32" s="1"/>
    </row>
    <row r="33" spans="2:23" ht="14.4" customHeight="1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N33" s="1"/>
      <c r="O33" s="1"/>
      <c r="P33" s="1"/>
      <c r="U33" s="1"/>
      <c r="V33" s="1"/>
      <c r="W33" s="1"/>
    </row>
    <row r="34" spans="2:23" ht="14.4" customHeight="1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N34" s="1"/>
      <c r="O34" s="1"/>
      <c r="P34" s="1"/>
      <c r="U34" s="1"/>
      <c r="V34" s="1"/>
      <c r="W34" s="1"/>
    </row>
    <row r="35" spans="2:23" ht="14.4" customHeight="1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N35" s="1"/>
      <c r="O35" s="1"/>
      <c r="P35" s="1"/>
      <c r="U35" s="1"/>
      <c r="V35" s="1"/>
      <c r="W35" s="1"/>
    </row>
    <row r="36" spans="2:23" ht="14.4" customHeight="1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N36" s="1"/>
      <c r="O36" s="1"/>
      <c r="P36" s="1"/>
      <c r="U36" s="1"/>
      <c r="V36" s="1"/>
      <c r="W36" s="1"/>
    </row>
    <row r="37" spans="2:23" ht="14.4" customHeight="1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N37" s="1"/>
      <c r="O37" s="1"/>
      <c r="P37" s="1"/>
      <c r="U37" s="1"/>
      <c r="V37" s="1"/>
      <c r="W37" s="1"/>
    </row>
    <row r="38" spans="2:23" ht="14.4" customHeight="1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M38" s="20"/>
      <c r="N38" s="1"/>
      <c r="O38" s="1"/>
      <c r="P38" s="1"/>
      <c r="U38" s="1"/>
      <c r="V38" s="1"/>
      <c r="W38" s="1"/>
    </row>
    <row r="39" spans="2:23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N39" s="1"/>
      <c r="O39" s="1"/>
      <c r="P39" s="1"/>
      <c r="U39" s="1"/>
      <c r="V39" s="1"/>
      <c r="W39" s="1"/>
    </row>
    <row r="40" spans="2:23" ht="14.4" customHeight="1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N40" s="1"/>
      <c r="O40" s="1"/>
      <c r="P40" s="1"/>
      <c r="U40" s="1"/>
      <c r="V40" s="1"/>
      <c r="W40" s="1"/>
    </row>
    <row r="41" spans="2:23" x14ac:dyDescent="0.35">
      <c r="J41" s="1"/>
      <c r="U41" s="1"/>
    </row>
    <row r="42" spans="2:23" x14ac:dyDescent="0.35">
      <c r="J42" s="1"/>
    </row>
    <row r="43" spans="2:23" x14ac:dyDescent="0.35">
      <c r="J43" s="1"/>
    </row>
    <row r="49" spans="7:7" x14ac:dyDescent="0.35">
      <c r="G49" s="20"/>
    </row>
  </sheetData>
  <mergeCells count="4">
    <mergeCell ref="B1:K1"/>
    <mergeCell ref="A7:K7"/>
    <mergeCell ref="A30:K30"/>
    <mergeCell ref="B13:L1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85FE-39D9-40F3-9DA3-8C101B664EB4}">
  <dimension ref="A1:Q42"/>
  <sheetViews>
    <sheetView topLeftCell="A22" workbookViewId="0">
      <selection activeCell="G34" sqref="G34"/>
    </sheetView>
  </sheetViews>
  <sheetFormatPr defaultRowHeight="14.5" x14ac:dyDescent="0.35"/>
  <cols>
    <col min="1" max="1" width="12" customWidth="1"/>
    <col min="2" max="2" width="6.81640625" customWidth="1"/>
    <col min="3" max="3" width="8.36328125" bestFit="1" customWidth="1"/>
    <col min="4" max="4" width="12.90625" customWidth="1"/>
    <col min="5" max="5" width="12.08984375" customWidth="1"/>
    <col min="7" max="7" width="11.08984375" customWidth="1"/>
    <col min="8" max="8" width="7" customWidth="1"/>
    <col min="10" max="10" width="11.6328125" customWidth="1"/>
    <col min="11" max="11" width="12.453125" customWidth="1"/>
    <col min="13" max="13" width="10.81640625" customWidth="1"/>
    <col min="14" max="14" width="8" customWidth="1"/>
    <col min="15" max="15" width="8.26953125" customWidth="1"/>
    <col min="16" max="16" width="11.54296875" customWidth="1"/>
    <col min="17" max="17" width="12.08984375" customWidth="1"/>
  </cols>
  <sheetData>
    <row r="1" spans="1:17" x14ac:dyDescent="0.35">
      <c r="A1" s="37" t="s">
        <v>82</v>
      </c>
      <c r="B1" s="38">
        <v>0</v>
      </c>
      <c r="G1" s="37" t="s">
        <v>39</v>
      </c>
      <c r="H1" s="39">
        <v>0.44</v>
      </c>
      <c r="M1" s="37" t="s">
        <v>39</v>
      </c>
      <c r="N1" s="38">
        <v>0.36</v>
      </c>
    </row>
    <row r="2" spans="1:17" x14ac:dyDescent="0.35">
      <c r="A2" s="37" t="s">
        <v>86</v>
      </c>
      <c r="B2" s="38" t="s">
        <v>38</v>
      </c>
      <c r="C2" s="1"/>
      <c r="G2" s="37" t="s">
        <v>87</v>
      </c>
      <c r="H2" s="39" t="s">
        <v>38</v>
      </c>
      <c r="M2" s="37" t="s">
        <v>87</v>
      </c>
      <c r="N2" s="38" t="s">
        <v>38</v>
      </c>
    </row>
    <row r="3" spans="1:17" ht="31" customHeight="1" x14ac:dyDescent="0.35">
      <c r="A3" s="29" t="s">
        <v>1</v>
      </c>
      <c r="B3" s="29" t="s">
        <v>0</v>
      </c>
      <c r="C3" s="29" t="s">
        <v>11</v>
      </c>
      <c r="D3" s="27" t="s">
        <v>21</v>
      </c>
      <c r="E3" s="27" t="s">
        <v>32</v>
      </c>
      <c r="G3" s="29" t="s">
        <v>1</v>
      </c>
      <c r="H3" s="29" t="s">
        <v>0</v>
      </c>
      <c r="I3" s="29" t="s">
        <v>11</v>
      </c>
      <c r="J3" s="27" t="s">
        <v>21</v>
      </c>
      <c r="K3" s="27" t="s">
        <v>32</v>
      </c>
      <c r="M3" s="29" t="s">
        <v>1</v>
      </c>
      <c r="N3" s="29" t="s">
        <v>0</v>
      </c>
      <c r="O3" s="29" t="s">
        <v>11</v>
      </c>
      <c r="P3" s="27" t="s">
        <v>21</v>
      </c>
      <c r="Q3" s="27" t="s">
        <v>32</v>
      </c>
    </row>
    <row r="4" spans="1:17" x14ac:dyDescent="0.35">
      <c r="A4" s="36">
        <v>30</v>
      </c>
      <c r="B4" s="8">
        <v>1.01196</v>
      </c>
      <c r="C4" s="8">
        <v>2.173</v>
      </c>
      <c r="D4" s="8">
        <v>462.9</v>
      </c>
      <c r="E4" s="8">
        <v>3.71</v>
      </c>
      <c r="G4" s="36">
        <v>30</v>
      </c>
      <c r="H4" s="6">
        <v>1.1102700000000001</v>
      </c>
      <c r="I4" s="6">
        <v>3.2324999999999999</v>
      </c>
      <c r="J4" s="6">
        <v>475.6</v>
      </c>
      <c r="K4" s="6">
        <v>3.42</v>
      </c>
      <c r="M4" s="36">
        <v>30</v>
      </c>
      <c r="N4" s="6">
        <v>1.0954699999999999</v>
      </c>
      <c r="O4" s="6">
        <v>3.1909999999999998</v>
      </c>
      <c r="P4" s="6">
        <v>469.62</v>
      </c>
      <c r="Q4" s="6">
        <v>3.45</v>
      </c>
    </row>
    <row r="5" spans="1:17" x14ac:dyDescent="0.35">
      <c r="A5" s="36">
        <v>35</v>
      </c>
      <c r="B5" s="8">
        <v>1.0095499999999999</v>
      </c>
      <c r="C5" s="8">
        <v>1.8680000000000001</v>
      </c>
      <c r="D5" s="8">
        <v>466.8</v>
      </c>
      <c r="E5" s="8">
        <v>3.74</v>
      </c>
      <c r="G5" s="36">
        <v>35</v>
      </c>
      <c r="H5" s="6">
        <v>1.10782</v>
      </c>
      <c r="I5" s="6">
        <v>2.7879999999999998</v>
      </c>
      <c r="J5" s="6">
        <v>479.6</v>
      </c>
      <c r="K5" s="6">
        <v>3.44</v>
      </c>
      <c r="M5" s="36">
        <v>35</v>
      </c>
      <c r="N5" s="6">
        <v>1.0930500000000001</v>
      </c>
      <c r="O5" s="6">
        <v>2.762</v>
      </c>
      <c r="P5" s="6">
        <v>473.37</v>
      </c>
      <c r="Q5" s="6">
        <v>3.47</v>
      </c>
    </row>
    <row r="6" spans="1:17" x14ac:dyDescent="0.35">
      <c r="A6" s="36">
        <v>40</v>
      </c>
      <c r="B6" s="8">
        <v>1.00701</v>
      </c>
      <c r="C6" s="8">
        <v>1.625</v>
      </c>
      <c r="D6" s="8">
        <v>471.1</v>
      </c>
      <c r="E6" s="8">
        <v>3.76</v>
      </c>
      <c r="G6" s="36">
        <v>40</v>
      </c>
      <c r="H6" s="6">
        <v>1.1052999999999999</v>
      </c>
      <c r="I6" s="6">
        <v>2.4079999999999999</v>
      </c>
      <c r="J6" s="6">
        <v>481.7</v>
      </c>
      <c r="K6" s="6">
        <v>3.46</v>
      </c>
      <c r="M6" s="36">
        <v>40</v>
      </c>
      <c r="N6" s="6">
        <v>1.0905499999999999</v>
      </c>
      <c r="O6" s="6">
        <v>2.407</v>
      </c>
      <c r="P6" s="6">
        <v>476.01</v>
      </c>
      <c r="Q6" s="6">
        <v>3.49</v>
      </c>
    </row>
    <row r="7" spans="1:17" x14ac:dyDescent="0.35">
      <c r="A7" s="36">
        <v>45</v>
      </c>
      <c r="B7" s="8"/>
      <c r="C7" s="8"/>
      <c r="D7" s="8">
        <v>474.7</v>
      </c>
      <c r="E7" s="8">
        <v>3.78</v>
      </c>
      <c r="G7" s="36">
        <v>45</v>
      </c>
      <c r="H7" s="6"/>
      <c r="I7" s="6"/>
      <c r="J7" s="6">
        <v>481</v>
      </c>
      <c r="K7" s="6">
        <v>3.46</v>
      </c>
      <c r="M7" s="36">
        <v>45</v>
      </c>
      <c r="N7" s="6"/>
      <c r="O7" s="6"/>
      <c r="P7" s="6">
        <v>477.79</v>
      </c>
      <c r="Q7" s="6">
        <v>3.5</v>
      </c>
    </row>
    <row r="8" spans="1:17" x14ac:dyDescent="0.35">
      <c r="A8" s="36">
        <v>50</v>
      </c>
      <c r="B8" s="8"/>
      <c r="C8" s="8"/>
      <c r="D8" s="8">
        <v>478</v>
      </c>
      <c r="E8" s="8">
        <v>3.8</v>
      </c>
      <c r="G8" s="36">
        <v>50</v>
      </c>
      <c r="H8" s="6"/>
      <c r="I8" s="6"/>
      <c r="J8" s="6">
        <v>481</v>
      </c>
      <c r="K8" s="6">
        <v>3.47</v>
      </c>
      <c r="M8" s="36">
        <v>50</v>
      </c>
      <c r="N8" s="6"/>
      <c r="O8" s="6"/>
      <c r="P8" s="6">
        <v>476.32</v>
      </c>
      <c r="Q8" s="6">
        <v>3.5</v>
      </c>
    </row>
    <row r="9" spans="1:17" x14ac:dyDescent="0.35">
      <c r="A9" s="36">
        <v>55</v>
      </c>
      <c r="B9" s="8"/>
      <c r="C9" s="8"/>
      <c r="D9" s="8">
        <v>477</v>
      </c>
      <c r="E9" s="8">
        <v>3.81</v>
      </c>
      <c r="G9" s="36">
        <v>55</v>
      </c>
      <c r="H9" s="6"/>
      <c r="I9" s="6"/>
      <c r="J9" s="6">
        <v>476.9</v>
      </c>
      <c r="K9" s="6">
        <v>3.47</v>
      </c>
      <c r="M9" s="36">
        <v>55</v>
      </c>
      <c r="N9" s="6"/>
      <c r="O9" s="6"/>
      <c r="P9" s="6">
        <v>477.76</v>
      </c>
      <c r="Q9" s="6">
        <v>3.51</v>
      </c>
    </row>
    <row r="10" spans="1:17" x14ac:dyDescent="0.35">
      <c r="A10" s="36">
        <v>60</v>
      </c>
      <c r="B10" s="8"/>
      <c r="C10" s="8"/>
      <c r="D10" s="8">
        <v>477.7</v>
      </c>
      <c r="E10" s="8">
        <v>3.82</v>
      </c>
      <c r="G10" s="36">
        <v>60</v>
      </c>
      <c r="H10" s="6"/>
      <c r="I10" s="6"/>
      <c r="J10" s="6">
        <v>471.8</v>
      </c>
      <c r="K10" s="6">
        <v>3.46</v>
      </c>
      <c r="M10" s="36">
        <v>60</v>
      </c>
      <c r="N10" s="6"/>
      <c r="O10" s="6"/>
      <c r="P10" s="6">
        <v>475.84</v>
      </c>
      <c r="Q10" s="6">
        <v>3.52</v>
      </c>
    </row>
    <row r="11" spans="1:17" x14ac:dyDescent="0.35">
      <c r="A11" s="36">
        <v>65</v>
      </c>
      <c r="B11" s="8"/>
      <c r="C11" s="8"/>
      <c r="D11" s="8">
        <v>475.6</v>
      </c>
      <c r="E11" s="8">
        <v>3.82</v>
      </c>
      <c r="G11" s="36">
        <v>65</v>
      </c>
      <c r="H11" s="6"/>
      <c r="I11" s="6"/>
      <c r="J11" s="6">
        <v>465.3</v>
      </c>
      <c r="K11" s="6">
        <v>3.46</v>
      </c>
      <c r="M11" s="36">
        <v>65</v>
      </c>
      <c r="N11" s="6"/>
      <c r="O11" s="6"/>
      <c r="P11" s="6">
        <v>474.18</v>
      </c>
      <c r="Q11" s="6">
        <v>3.52</v>
      </c>
    </row>
    <row r="12" spans="1:17" x14ac:dyDescent="0.35">
      <c r="A12" s="36">
        <v>70</v>
      </c>
      <c r="B12" s="8"/>
      <c r="C12" s="8"/>
      <c r="D12" s="8">
        <v>472.8</v>
      </c>
      <c r="E12" s="8">
        <v>3.83</v>
      </c>
      <c r="G12" s="36">
        <v>70</v>
      </c>
      <c r="H12" s="6"/>
      <c r="I12" s="6"/>
      <c r="J12" s="6">
        <v>461.3</v>
      </c>
      <c r="K12" s="6">
        <v>3.46</v>
      </c>
      <c r="M12" s="36">
        <v>70</v>
      </c>
      <c r="N12" s="6"/>
      <c r="O12" s="6"/>
      <c r="P12" s="6">
        <v>468.49</v>
      </c>
      <c r="Q12" s="6">
        <v>3.52</v>
      </c>
    </row>
    <row r="13" spans="1:17" x14ac:dyDescent="0.35">
      <c r="A13" s="36">
        <v>75</v>
      </c>
      <c r="B13" s="8"/>
      <c r="C13" s="8"/>
      <c r="D13" s="8"/>
      <c r="E13" s="8"/>
      <c r="G13" s="36">
        <v>75</v>
      </c>
      <c r="H13" s="6"/>
      <c r="I13" s="6"/>
      <c r="J13" s="6"/>
      <c r="K13" s="6"/>
      <c r="M13" s="36">
        <v>75</v>
      </c>
      <c r="N13" s="6"/>
      <c r="O13" s="6"/>
      <c r="P13" s="6"/>
      <c r="Q13" s="6"/>
    </row>
    <row r="16" spans="1:17" x14ac:dyDescent="0.35">
      <c r="A16" s="40" t="s">
        <v>39</v>
      </c>
      <c r="B16" s="41">
        <v>0</v>
      </c>
      <c r="G16" s="40" t="s">
        <v>39</v>
      </c>
      <c r="H16" s="41">
        <v>0.45</v>
      </c>
      <c r="M16" s="40" t="s">
        <v>39</v>
      </c>
      <c r="N16" s="41">
        <v>0.36</v>
      </c>
    </row>
    <row r="17" spans="1:17" x14ac:dyDescent="0.35">
      <c r="A17" s="40" t="s">
        <v>83</v>
      </c>
      <c r="B17" s="41" t="s">
        <v>84</v>
      </c>
      <c r="G17" s="40" t="s">
        <v>83</v>
      </c>
      <c r="H17" s="41" t="s">
        <v>84</v>
      </c>
      <c r="M17" s="40" t="s">
        <v>83</v>
      </c>
      <c r="N17" s="41" t="s">
        <v>84</v>
      </c>
    </row>
    <row r="18" spans="1:17" ht="29" x14ac:dyDescent="0.35">
      <c r="A18" s="29" t="s">
        <v>1</v>
      </c>
      <c r="B18" s="29" t="s">
        <v>0</v>
      </c>
      <c r="C18" s="29" t="s">
        <v>11</v>
      </c>
      <c r="D18" s="27" t="s">
        <v>21</v>
      </c>
      <c r="E18" s="27" t="s">
        <v>32</v>
      </c>
      <c r="G18" s="29" t="s">
        <v>1</v>
      </c>
      <c r="H18" s="29" t="s">
        <v>0</v>
      </c>
      <c r="I18" s="29" t="s">
        <v>11</v>
      </c>
      <c r="J18" s="27" t="s">
        <v>21</v>
      </c>
      <c r="K18" s="27" t="s">
        <v>32</v>
      </c>
      <c r="M18" s="29" t="s">
        <v>1</v>
      </c>
      <c r="N18" s="29" t="s">
        <v>0</v>
      </c>
      <c r="O18" s="29" t="s">
        <v>11</v>
      </c>
      <c r="P18" s="27" t="s">
        <v>21</v>
      </c>
      <c r="Q18" s="27" t="s">
        <v>32</v>
      </c>
    </row>
    <row r="19" spans="1:17" x14ac:dyDescent="0.35">
      <c r="A19" s="36">
        <v>30</v>
      </c>
      <c r="B19" s="6">
        <v>1.0037199999999999</v>
      </c>
      <c r="C19" s="6">
        <v>1.3919999999999999</v>
      </c>
      <c r="D19" s="6">
        <v>516.4</v>
      </c>
      <c r="E19" s="6">
        <v>3.92</v>
      </c>
      <c r="G19" s="36">
        <v>30</v>
      </c>
      <c r="H19" s="6">
        <v>1.0696600000000001</v>
      </c>
      <c r="I19" s="6">
        <v>1.748</v>
      </c>
      <c r="J19" s="6">
        <v>529.6</v>
      </c>
      <c r="K19" s="6">
        <v>3.71</v>
      </c>
      <c r="M19" s="36">
        <v>30</v>
      </c>
      <c r="N19" s="6">
        <v>1.0577000000000001</v>
      </c>
      <c r="O19" s="6">
        <v>1.6970000000000001</v>
      </c>
      <c r="P19" s="6">
        <v>528.45000000000005</v>
      </c>
      <c r="Q19" s="6">
        <v>3.75</v>
      </c>
    </row>
    <row r="20" spans="1:17" x14ac:dyDescent="0.35">
      <c r="A20" s="36">
        <v>35</v>
      </c>
      <c r="B20" s="6">
        <v>1.0017</v>
      </c>
      <c r="C20" s="6">
        <v>1.218</v>
      </c>
      <c r="D20" s="6">
        <v>521.41999999999996</v>
      </c>
      <c r="E20" s="6">
        <v>3.93</v>
      </c>
      <c r="G20" s="36">
        <v>35</v>
      </c>
      <c r="H20" s="6">
        <v>1.0674399999999999</v>
      </c>
      <c r="I20" s="6">
        <v>1.538</v>
      </c>
      <c r="J20" s="6">
        <v>535.36</v>
      </c>
      <c r="K20" s="6">
        <v>3.72</v>
      </c>
      <c r="M20" s="36">
        <v>35</v>
      </c>
      <c r="N20" s="6">
        <v>1.0555399999999999</v>
      </c>
      <c r="O20" s="6">
        <v>1.494</v>
      </c>
      <c r="P20" s="6">
        <v>533.86</v>
      </c>
      <c r="Q20" s="6">
        <v>3.76</v>
      </c>
    </row>
    <row r="21" spans="1:17" x14ac:dyDescent="0.35">
      <c r="A21" s="36">
        <v>40</v>
      </c>
      <c r="B21" s="6">
        <v>0.99963000000000002</v>
      </c>
      <c r="C21" s="6">
        <v>1.0780000000000001</v>
      </c>
      <c r="D21" s="6">
        <v>526.42999999999995</v>
      </c>
      <c r="E21" s="6">
        <v>3.94</v>
      </c>
      <c r="G21" s="36">
        <v>40</v>
      </c>
      <c r="H21" s="6">
        <v>1.0651200000000001</v>
      </c>
      <c r="I21" s="6">
        <v>1.365</v>
      </c>
      <c r="J21" s="6">
        <v>540.66</v>
      </c>
      <c r="K21" s="6">
        <v>3.73</v>
      </c>
      <c r="M21" s="36">
        <v>40</v>
      </c>
      <c r="N21" s="6">
        <v>1.0532600000000001</v>
      </c>
      <c r="O21" s="6">
        <v>1.325</v>
      </c>
      <c r="P21" s="6">
        <v>537.63</v>
      </c>
      <c r="Q21" s="6">
        <v>3.77</v>
      </c>
    </row>
    <row r="22" spans="1:17" x14ac:dyDescent="0.35">
      <c r="A22" s="36">
        <v>45</v>
      </c>
      <c r="B22" s="6"/>
      <c r="C22" s="6"/>
      <c r="D22" s="6">
        <v>531.14</v>
      </c>
      <c r="E22" s="6">
        <v>3.95</v>
      </c>
      <c r="G22" s="36">
        <v>45</v>
      </c>
      <c r="H22" s="6"/>
      <c r="I22" s="6"/>
      <c r="J22" s="6">
        <v>544.15</v>
      </c>
      <c r="K22" s="6">
        <v>3.73</v>
      </c>
      <c r="M22" s="36">
        <v>45</v>
      </c>
      <c r="N22" s="6"/>
      <c r="O22" s="6"/>
      <c r="P22" s="6">
        <v>542.26</v>
      </c>
      <c r="Q22" s="6">
        <v>3.77</v>
      </c>
    </row>
    <row r="23" spans="1:17" x14ac:dyDescent="0.35">
      <c r="A23" s="36">
        <v>50</v>
      </c>
      <c r="B23" s="6"/>
      <c r="C23" s="6"/>
      <c r="D23" s="6">
        <v>535.44000000000005</v>
      </c>
      <c r="E23" s="6">
        <v>3.96</v>
      </c>
      <c r="G23" s="36">
        <v>50</v>
      </c>
      <c r="H23" s="6"/>
      <c r="I23" s="6"/>
      <c r="J23" s="6">
        <v>548.54</v>
      </c>
      <c r="K23" s="6">
        <v>3.74</v>
      </c>
      <c r="M23" s="36">
        <v>50</v>
      </c>
      <c r="N23" s="6"/>
      <c r="O23" s="6"/>
      <c r="P23" s="6">
        <v>545.16999999999996</v>
      </c>
      <c r="Q23" s="6">
        <v>3.77</v>
      </c>
    </row>
    <row r="24" spans="1:17" x14ac:dyDescent="0.35">
      <c r="A24" s="36">
        <v>55</v>
      </c>
      <c r="B24" s="6"/>
      <c r="C24" s="6"/>
      <c r="D24" s="6">
        <v>540.25</v>
      </c>
      <c r="E24" s="6">
        <v>3.96</v>
      </c>
      <c r="G24" s="36">
        <v>55</v>
      </c>
      <c r="H24" s="6"/>
      <c r="I24" s="6"/>
      <c r="J24" s="6">
        <v>550.94000000000005</v>
      </c>
      <c r="K24" s="6">
        <v>3.74</v>
      </c>
      <c r="M24" s="36">
        <v>55</v>
      </c>
      <c r="N24" s="6"/>
      <c r="O24" s="6"/>
      <c r="P24" s="6">
        <v>546.92999999999995</v>
      </c>
      <c r="Q24" s="6">
        <v>3.77</v>
      </c>
    </row>
    <row r="25" spans="1:17" x14ac:dyDescent="0.35">
      <c r="A25" s="36">
        <v>60</v>
      </c>
      <c r="B25" s="6"/>
      <c r="C25" s="6"/>
      <c r="D25" s="6">
        <v>544.92999999999995</v>
      </c>
      <c r="E25" s="6">
        <v>3.97</v>
      </c>
      <c r="G25" s="36">
        <v>60</v>
      </c>
      <c r="H25" s="6"/>
      <c r="I25" s="6"/>
      <c r="J25" s="6">
        <v>551.98</v>
      </c>
      <c r="K25" s="6">
        <v>3.73</v>
      </c>
      <c r="M25" s="36">
        <v>60</v>
      </c>
      <c r="N25" s="6"/>
      <c r="O25" s="6"/>
      <c r="P25" s="6">
        <v>547.1</v>
      </c>
      <c r="Q25" s="6">
        <v>3.77</v>
      </c>
    </row>
    <row r="26" spans="1:17" x14ac:dyDescent="0.35">
      <c r="A26" s="36">
        <v>65</v>
      </c>
      <c r="B26" s="6"/>
      <c r="C26" s="6"/>
      <c r="D26" s="6">
        <v>550.04</v>
      </c>
      <c r="E26" s="6">
        <v>3.97</v>
      </c>
      <c r="G26" s="36">
        <v>65</v>
      </c>
      <c r="H26" s="6"/>
      <c r="I26" s="6"/>
      <c r="J26" s="6">
        <v>551.04999999999995</v>
      </c>
      <c r="K26" s="6">
        <v>3.73</v>
      </c>
      <c r="M26" s="36">
        <v>65</v>
      </c>
      <c r="N26" s="6"/>
      <c r="O26" s="6"/>
      <c r="P26" s="6">
        <v>545.72</v>
      </c>
      <c r="Q26" s="6">
        <v>3.76</v>
      </c>
    </row>
    <row r="27" spans="1:17" x14ac:dyDescent="0.35">
      <c r="A27" s="36">
        <v>70</v>
      </c>
      <c r="B27" s="6"/>
      <c r="C27" s="6"/>
      <c r="D27" s="6">
        <v>551.09</v>
      </c>
      <c r="E27" s="6">
        <v>3.96</v>
      </c>
      <c r="G27" s="36">
        <v>70</v>
      </c>
      <c r="H27" s="6"/>
      <c r="I27" s="6"/>
      <c r="J27" s="6">
        <v>546.78</v>
      </c>
      <c r="K27" s="6">
        <v>3.72</v>
      </c>
      <c r="M27" s="36">
        <v>70</v>
      </c>
      <c r="N27" s="6"/>
      <c r="O27" s="6"/>
      <c r="P27" s="6">
        <v>542.91</v>
      </c>
      <c r="Q27" s="6">
        <v>3.75</v>
      </c>
    </row>
    <row r="28" spans="1:17" x14ac:dyDescent="0.35">
      <c r="A28" s="36">
        <v>75</v>
      </c>
      <c r="B28" s="6"/>
      <c r="C28" s="6"/>
      <c r="D28" s="6"/>
      <c r="E28" s="6"/>
      <c r="G28" s="36">
        <v>75</v>
      </c>
      <c r="H28" s="6"/>
      <c r="I28" s="6"/>
      <c r="J28" s="6"/>
      <c r="K28" s="6"/>
      <c r="M28" s="36">
        <v>75</v>
      </c>
      <c r="N28" s="6"/>
      <c r="O28" s="6"/>
      <c r="P28" s="6"/>
      <c r="Q28" s="6"/>
    </row>
    <row r="30" spans="1:17" x14ac:dyDescent="0.35">
      <c r="A30" s="42" t="s">
        <v>39</v>
      </c>
      <c r="B30" s="43">
        <v>0</v>
      </c>
      <c r="G30" s="42" t="s">
        <v>39</v>
      </c>
      <c r="H30" s="43">
        <v>0.44</v>
      </c>
      <c r="M30" s="42" t="s">
        <v>39</v>
      </c>
      <c r="N30" s="43">
        <v>0.35</v>
      </c>
    </row>
    <row r="31" spans="1:17" x14ac:dyDescent="0.35">
      <c r="A31" s="42" t="s">
        <v>83</v>
      </c>
      <c r="B31" s="43" t="s">
        <v>85</v>
      </c>
      <c r="G31" s="42" t="s">
        <v>83</v>
      </c>
      <c r="H31" s="43" t="s">
        <v>85</v>
      </c>
      <c r="M31" s="42" t="s">
        <v>83</v>
      </c>
      <c r="N31" s="43" t="s">
        <v>85</v>
      </c>
    </row>
    <row r="32" spans="1:17" ht="29" x14ac:dyDescent="0.35">
      <c r="A32" s="29" t="s">
        <v>1</v>
      </c>
      <c r="B32" s="29" t="s">
        <v>0</v>
      </c>
      <c r="C32" s="29" t="s">
        <v>11</v>
      </c>
      <c r="D32" s="27" t="s">
        <v>21</v>
      </c>
      <c r="E32" s="27" t="s">
        <v>32</v>
      </c>
      <c r="G32" s="29" t="s">
        <v>1</v>
      </c>
      <c r="H32" s="29" t="s">
        <v>0</v>
      </c>
      <c r="I32" s="29" t="s">
        <v>11</v>
      </c>
      <c r="J32" s="27" t="s">
        <v>21</v>
      </c>
      <c r="K32" s="27" t="s">
        <v>32</v>
      </c>
      <c r="M32" s="29" t="s">
        <v>1</v>
      </c>
      <c r="N32" s="29" t="s">
        <v>0</v>
      </c>
      <c r="O32" s="29" t="s">
        <v>11</v>
      </c>
      <c r="P32" s="27" t="s">
        <v>21</v>
      </c>
      <c r="Q32" s="27" t="s">
        <v>32</v>
      </c>
    </row>
    <row r="33" spans="1:17" x14ac:dyDescent="0.35">
      <c r="A33" s="36">
        <v>30</v>
      </c>
      <c r="B33" s="6">
        <v>0.99885000000000002</v>
      </c>
      <c r="C33" s="6">
        <v>0.79600000000000004</v>
      </c>
      <c r="D33" s="6">
        <v>572.79999999999995</v>
      </c>
      <c r="E33" s="6">
        <v>4.08</v>
      </c>
      <c r="G33" s="36">
        <v>30</v>
      </c>
      <c r="H33" s="6">
        <v>1.0235799999999999</v>
      </c>
      <c r="I33" s="6">
        <v>0.85199999999999998</v>
      </c>
      <c r="J33" s="6">
        <v>584.6</v>
      </c>
      <c r="K33" s="6">
        <v>4.01</v>
      </c>
      <c r="M33" s="36">
        <v>30</v>
      </c>
      <c r="N33" s="6">
        <v>1.01684</v>
      </c>
      <c r="O33" s="6">
        <v>0.84499999999999997</v>
      </c>
      <c r="P33" s="6">
        <v>580.65</v>
      </c>
      <c r="Q33" s="6">
        <v>4.03</v>
      </c>
    </row>
    <row r="34" spans="1:17" x14ac:dyDescent="0.35">
      <c r="A34" s="36">
        <v>35</v>
      </c>
      <c r="B34" s="6">
        <v>0.99712999999999996</v>
      </c>
      <c r="C34" s="6">
        <v>0.70899999999999996</v>
      </c>
      <c r="D34" s="6">
        <v>577.79</v>
      </c>
      <c r="E34" s="6">
        <v>4.08</v>
      </c>
      <c r="G34" s="36">
        <v>35</v>
      </c>
      <c r="H34" s="6">
        <v>1.02172</v>
      </c>
      <c r="I34" s="6">
        <v>0.76</v>
      </c>
      <c r="J34" s="6">
        <v>591.72</v>
      </c>
      <c r="K34" s="6">
        <v>4.01</v>
      </c>
      <c r="M34" s="36">
        <v>35</v>
      </c>
      <c r="N34" s="6">
        <v>1.0149999999999999</v>
      </c>
      <c r="O34" s="6">
        <v>0.753</v>
      </c>
      <c r="P34" s="6">
        <v>587.80999999999995</v>
      </c>
      <c r="Q34" s="6">
        <v>4.03</v>
      </c>
    </row>
    <row r="35" spans="1:17" x14ac:dyDescent="0.35">
      <c r="A35" s="36">
        <v>40</v>
      </c>
      <c r="B35" s="6">
        <v>0.99522999999999995</v>
      </c>
      <c r="C35" s="6">
        <v>0.63800000000000001</v>
      </c>
      <c r="D35" s="6">
        <v>585.07000000000005</v>
      </c>
      <c r="E35" s="6">
        <v>4.08</v>
      </c>
      <c r="G35" s="36">
        <v>40</v>
      </c>
      <c r="H35" s="6">
        <v>1.0197000000000001</v>
      </c>
      <c r="I35" s="6">
        <v>0.68500000000000005</v>
      </c>
      <c r="J35" s="6">
        <v>597.85</v>
      </c>
      <c r="K35" s="6">
        <v>4</v>
      </c>
      <c r="M35" s="36">
        <v>40</v>
      </c>
      <c r="N35" s="6">
        <v>1.0129999999999999</v>
      </c>
      <c r="O35" s="6">
        <v>0.67900000000000005</v>
      </c>
      <c r="P35" s="6">
        <v>595.15</v>
      </c>
      <c r="Q35" s="6">
        <v>4.03</v>
      </c>
    </row>
    <row r="36" spans="1:17" x14ac:dyDescent="0.35">
      <c r="A36" s="36">
        <v>45</v>
      </c>
      <c r="B36" s="6"/>
      <c r="C36" s="6"/>
      <c r="D36" s="6">
        <v>589.51</v>
      </c>
      <c r="E36" s="6">
        <v>4.07</v>
      </c>
      <c r="G36" s="36">
        <v>45</v>
      </c>
      <c r="H36" s="6"/>
      <c r="I36" s="6"/>
      <c r="J36" s="6">
        <v>604.75</v>
      </c>
      <c r="K36" s="6">
        <v>4</v>
      </c>
      <c r="M36" s="36">
        <v>45</v>
      </c>
      <c r="N36" s="6"/>
      <c r="O36" s="6"/>
      <c r="P36" s="6">
        <v>600.92999999999995</v>
      </c>
      <c r="Q36" s="6">
        <v>4.0199999999999996</v>
      </c>
    </row>
    <row r="37" spans="1:17" x14ac:dyDescent="0.35">
      <c r="A37" s="36">
        <v>50</v>
      </c>
      <c r="B37" s="6"/>
      <c r="C37" s="6"/>
      <c r="D37" s="6">
        <v>595.16999999999996</v>
      </c>
      <c r="E37" s="6">
        <v>4.07</v>
      </c>
      <c r="G37" s="36">
        <v>50</v>
      </c>
      <c r="H37" s="6"/>
      <c r="I37" s="6"/>
      <c r="J37" s="6">
        <v>610.62</v>
      </c>
      <c r="K37" s="6">
        <v>4</v>
      </c>
      <c r="M37" s="36">
        <v>50</v>
      </c>
      <c r="N37" s="6"/>
      <c r="O37" s="6"/>
      <c r="P37" s="6">
        <v>607.16999999999996</v>
      </c>
      <c r="Q37" s="6">
        <v>4.0199999999999996</v>
      </c>
    </row>
    <row r="38" spans="1:17" x14ac:dyDescent="0.35">
      <c r="A38" s="36">
        <v>55</v>
      </c>
      <c r="B38" s="6"/>
      <c r="C38" s="6"/>
      <c r="D38" s="6">
        <v>600.39</v>
      </c>
      <c r="E38" s="6">
        <v>4.0599999999999996</v>
      </c>
      <c r="G38" s="36">
        <v>55</v>
      </c>
      <c r="H38" s="6"/>
      <c r="I38" s="6"/>
      <c r="J38" s="6">
        <v>615.89</v>
      </c>
      <c r="K38" s="6">
        <v>3.99</v>
      </c>
      <c r="M38" s="36">
        <v>55</v>
      </c>
      <c r="N38" s="6"/>
      <c r="O38" s="6"/>
      <c r="P38" s="6">
        <v>611.86</v>
      </c>
      <c r="Q38" s="6">
        <v>4.01</v>
      </c>
    </row>
    <row r="39" spans="1:17" x14ac:dyDescent="0.35">
      <c r="A39" s="36">
        <v>60</v>
      </c>
      <c r="B39" s="6"/>
      <c r="C39" s="6"/>
      <c r="D39" s="6">
        <v>605.16</v>
      </c>
      <c r="E39" s="6">
        <v>4.05</v>
      </c>
      <c r="G39" s="36">
        <v>60</v>
      </c>
      <c r="H39" s="6"/>
      <c r="I39" s="6"/>
      <c r="J39" s="6">
        <v>617.92999999999995</v>
      </c>
      <c r="K39" s="6">
        <v>3.98</v>
      </c>
      <c r="M39" s="36">
        <v>60</v>
      </c>
      <c r="N39" s="6"/>
      <c r="O39" s="6"/>
      <c r="P39" s="6">
        <v>616.91</v>
      </c>
      <c r="Q39" s="6">
        <v>4.01</v>
      </c>
    </row>
    <row r="40" spans="1:17" x14ac:dyDescent="0.35">
      <c r="A40" s="36">
        <v>65</v>
      </c>
      <c r="B40" s="6"/>
      <c r="C40" s="6"/>
      <c r="D40" s="6">
        <v>609.97</v>
      </c>
      <c r="E40" s="6">
        <v>4.05</v>
      </c>
      <c r="G40" s="36">
        <v>65</v>
      </c>
      <c r="H40" s="6"/>
      <c r="I40" s="6"/>
      <c r="J40" s="6">
        <v>621.41999999999996</v>
      </c>
      <c r="K40" s="6">
        <v>3.98</v>
      </c>
      <c r="M40" s="36">
        <v>65</v>
      </c>
      <c r="N40" s="6"/>
      <c r="O40" s="6"/>
      <c r="P40" s="6">
        <v>620.58000000000004</v>
      </c>
      <c r="Q40" s="6">
        <v>4</v>
      </c>
    </row>
    <row r="41" spans="1:17" x14ac:dyDescent="0.35">
      <c r="A41" s="36">
        <v>70</v>
      </c>
      <c r="B41" s="6"/>
      <c r="C41" s="6"/>
      <c r="D41" s="6">
        <v>615.04</v>
      </c>
      <c r="E41" s="6">
        <v>4.05</v>
      </c>
      <c r="G41" s="36">
        <v>70</v>
      </c>
      <c r="H41" s="6"/>
      <c r="I41" s="6"/>
      <c r="J41" s="6">
        <v>623.61</v>
      </c>
      <c r="K41" s="6">
        <v>3.97</v>
      </c>
      <c r="M41" s="36">
        <v>70</v>
      </c>
      <c r="N41" s="6"/>
      <c r="O41" s="6"/>
      <c r="P41" s="6">
        <v>624.96</v>
      </c>
      <c r="Q41" s="6">
        <v>3.99</v>
      </c>
    </row>
    <row r="42" spans="1:17" x14ac:dyDescent="0.35">
      <c r="A42" s="36">
        <v>75</v>
      </c>
      <c r="B42" s="6"/>
      <c r="C42" s="6"/>
      <c r="D42" s="6"/>
      <c r="E42" s="6"/>
      <c r="G42" s="36">
        <v>75</v>
      </c>
      <c r="H42" s="6"/>
      <c r="I42" s="6"/>
      <c r="J42" s="6"/>
      <c r="K42" s="6"/>
      <c r="M42" s="36">
        <v>75</v>
      </c>
      <c r="N42" s="6"/>
      <c r="O42" s="6"/>
      <c r="P42" s="6"/>
      <c r="Q42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FE7C-8EFD-4C52-9E8F-CFBFE06F1F36}">
  <dimension ref="A1:W92"/>
  <sheetViews>
    <sheetView tabSelected="1" topLeftCell="B1" workbookViewId="0">
      <selection activeCell="X7" sqref="X7"/>
    </sheetView>
  </sheetViews>
  <sheetFormatPr defaultRowHeight="14.5" x14ac:dyDescent="0.35"/>
  <cols>
    <col min="1" max="1" width="12" customWidth="1"/>
    <col min="2" max="2" width="8.36328125" customWidth="1"/>
    <col min="3" max="3" width="8.36328125" bestFit="1" customWidth="1"/>
    <col min="4" max="4" width="12.90625" customWidth="1"/>
    <col min="5" max="5" width="12.08984375" customWidth="1"/>
    <col min="7" max="7" width="11.08984375" customWidth="1"/>
    <col min="8" max="8" width="13.26953125" customWidth="1"/>
    <col min="10" max="10" width="15.36328125" customWidth="1"/>
    <col min="11" max="11" width="12.453125" customWidth="1"/>
    <col min="13" max="13" width="10.81640625" customWidth="1"/>
    <col min="14" max="14" width="8" customWidth="1"/>
    <col min="15" max="15" width="8.26953125" customWidth="1"/>
    <col min="16" max="16" width="11.54296875" customWidth="1"/>
    <col min="17" max="17" width="12.08984375" customWidth="1"/>
    <col min="21" max="21" width="12" customWidth="1"/>
    <col min="22" max="22" width="12.81640625" customWidth="1"/>
    <col min="23" max="23" width="16.36328125" customWidth="1"/>
  </cols>
  <sheetData>
    <row r="1" spans="1:23" ht="29" x14ac:dyDescent="0.35">
      <c r="A1" s="37" t="s">
        <v>82</v>
      </c>
      <c r="B1" s="38">
        <v>0</v>
      </c>
      <c r="G1" s="37" t="s">
        <v>39</v>
      </c>
      <c r="H1" s="39">
        <v>0.4</v>
      </c>
      <c r="M1" s="37" t="s">
        <v>39</v>
      </c>
      <c r="N1" s="38">
        <v>0.28000000000000003</v>
      </c>
      <c r="T1" s="54" t="s">
        <v>1</v>
      </c>
      <c r="U1" s="54" t="s">
        <v>82</v>
      </c>
      <c r="V1" s="55" t="s">
        <v>92</v>
      </c>
      <c r="W1" s="55" t="s">
        <v>21</v>
      </c>
    </row>
    <row r="2" spans="1:23" x14ac:dyDescent="0.35">
      <c r="A2" s="37" t="s">
        <v>86</v>
      </c>
      <c r="B2" s="38" t="s">
        <v>88</v>
      </c>
      <c r="C2" s="1"/>
      <c r="G2" s="37" t="s">
        <v>87</v>
      </c>
      <c r="H2" s="39" t="s">
        <v>88</v>
      </c>
      <c r="M2" s="37" t="s">
        <v>87</v>
      </c>
      <c r="N2" s="38" t="s">
        <v>88</v>
      </c>
      <c r="T2" s="54" t="s">
        <v>93</v>
      </c>
      <c r="U2" s="54" t="s">
        <v>94</v>
      </c>
      <c r="V2" s="54" t="s">
        <v>95</v>
      </c>
      <c r="W2" s="54" t="s">
        <v>96</v>
      </c>
    </row>
    <row r="3" spans="1:23" ht="31" customHeight="1" x14ac:dyDescent="0.35">
      <c r="A3" s="29" t="s">
        <v>1</v>
      </c>
      <c r="B3" s="44" t="s">
        <v>0</v>
      </c>
      <c r="C3" s="44" t="s">
        <v>11</v>
      </c>
      <c r="D3" s="45" t="s">
        <v>21</v>
      </c>
      <c r="E3" s="45" t="s">
        <v>32</v>
      </c>
      <c r="G3" s="29" t="s">
        <v>1</v>
      </c>
      <c r="H3" s="29" t="s">
        <v>0</v>
      </c>
      <c r="I3" s="29" t="s">
        <v>11</v>
      </c>
      <c r="J3" s="27" t="s">
        <v>21</v>
      </c>
      <c r="K3" s="27" t="s">
        <v>32</v>
      </c>
      <c r="M3" s="29" t="s">
        <v>1</v>
      </c>
      <c r="N3" s="29" t="s">
        <v>0</v>
      </c>
      <c r="O3" s="29" t="s">
        <v>11</v>
      </c>
      <c r="P3" s="27" t="s">
        <v>21</v>
      </c>
      <c r="Q3" s="27" t="s">
        <v>32</v>
      </c>
      <c r="T3" s="54">
        <v>30</v>
      </c>
      <c r="U3" s="54">
        <v>0</v>
      </c>
      <c r="V3" s="54">
        <v>5</v>
      </c>
      <c r="W3" s="54">
        <v>360.60500000000002</v>
      </c>
    </row>
    <row r="4" spans="1:23" x14ac:dyDescent="0.35">
      <c r="A4" s="36">
        <v>30</v>
      </c>
      <c r="B4" s="46">
        <v>0.98477999999999999</v>
      </c>
      <c r="C4" s="46">
        <v>4.9530000000000003</v>
      </c>
      <c r="D4" s="46">
        <v>360.60500000000002</v>
      </c>
      <c r="E4" s="46">
        <v>3.36</v>
      </c>
      <c r="G4" s="36">
        <v>30</v>
      </c>
      <c r="H4" s="6">
        <v>1.0898099999999999</v>
      </c>
      <c r="I4" s="6">
        <v>10.68</v>
      </c>
      <c r="J4" s="6">
        <v>368.63</v>
      </c>
      <c r="K4" s="6">
        <v>3.07</v>
      </c>
      <c r="M4" s="36">
        <v>30</v>
      </c>
      <c r="N4" s="6">
        <v>1.0461100000000001</v>
      </c>
      <c r="O4" s="6">
        <v>8.1579999999999995</v>
      </c>
      <c r="P4" s="6">
        <v>360.39</v>
      </c>
      <c r="Q4" s="6">
        <v>3.16</v>
      </c>
      <c r="T4" s="54">
        <v>35</v>
      </c>
      <c r="U4" s="54">
        <v>0</v>
      </c>
      <c r="V4" s="54">
        <v>5</v>
      </c>
      <c r="W4" s="54">
        <v>362.97</v>
      </c>
    </row>
    <row r="5" spans="1:23" x14ac:dyDescent="0.35">
      <c r="A5" s="36">
        <v>35</v>
      </c>
      <c r="B5" s="46">
        <v>0.98111999999999999</v>
      </c>
      <c r="C5" s="46">
        <v>3.9249999999999998</v>
      </c>
      <c r="D5" s="46">
        <v>362.97</v>
      </c>
      <c r="E5" s="46">
        <v>3.4</v>
      </c>
      <c r="G5" s="36">
        <v>35</v>
      </c>
      <c r="H5" s="6">
        <v>1.08636</v>
      </c>
      <c r="I5" s="6">
        <v>8.44</v>
      </c>
      <c r="J5" s="6">
        <v>370.42999999999995</v>
      </c>
      <c r="K5" s="6">
        <v>3.105</v>
      </c>
      <c r="M5" s="36">
        <v>35</v>
      </c>
      <c r="N5" s="6">
        <v>1.0426500000000001</v>
      </c>
      <c r="O5" s="6">
        <v>6.4420000000000002</v>
      </c>
      <c r="P5" s="6">
        <v>362.505</v>
      </c>
      <c r="Q5" s="6">
        <v>3.2</v>
      </c>
      <c r="T5" s="54">
        <v>40</v>
      </c>
      <c r="U5" s="54">
        <v>0</v>
      </c>
      <c r="V5" s="54">
        <v>5</v>
      </c>
      <c r="W5" s="54">
        <v>365.26</v>
      </c>
    </row>
    <row r="6" spans="1:23" x14ac:dyDescent="0.35">
      <c r="A6" s="36">
        <v>40</v>
      </c>
      <c r="B6" s="46">
        <v>0.97740000000000005</v>
      </c>
      <c r="C6" s="46">
        <v>3.1779999999999999</v>
      </c>
      <c r="D6" s="46">
        <v>365.26</v>
      </c>
      <c r="E6" s="46">
        <v>3.44</v>
      </c>
      <c r="G6" s="36">
        <v>40</v>
      </c>
      <c r="H6" s="6">
        <v>1.0828800000000001</v>
      </c>
      <c r="I6" s="6">
        <v>6.7949999999999999</v>
      </c>
      <c r="J6" s="6">
        <v>372.185</v>
      </c>
      <c r="K6" s="6">
        <v>3.14</v>
      </c>
      <c r="M6" s="36">
        <v>40</v>
      </c>
      <c r="N6" s="6">
        <v>1.0391300000000001</v>
      </c>
      <c r="O6" s="6">
        <v>5.1959999999999997</v>
      </c>
      <c r="P6" s="6">
        <v>364.89</v>
      </c>
      <c r="Q6" s="6">
        <v>3.24</v>
      </c>
      <c r="T6" s="54">
        <v>45</v>
      </c>
      <c r="U6" s="54">
        <v>0</v>
      </c>
      <c r="V6" s="54">
        <v>5</v>
      </c>
      <c r="W6" s="54">
        <v>367.22500000000002</v>
      </c>
    </row>
    <row r="7" spans="1:23" x14ac:dyDescent="0.35">
      <c r="A7" s="36">
        <v>45</v>
      </c>
      <c r="B7" s="46"/>
      <c r="C7" s="46"/>
      <c r="D7" s="46">
        <v>367.22500000000002</v>
      </c>
      <c r="E7" s="46">
        <v>3.4850000000000003</v>
      </c>
      <c r="G7" s="36">
        <v>45</v>
      </c>
      <c r="H7" s="6"/>
      <c r="I7" s="6"/>
      <c r="J7" s="6">
        <v>373.53499999999997</v>
      </c>
      <c r="K7" s="6">
        <v>3.17</v>
      </c>
      <c r="M7" s="36">
        <v>45</v>
      </c>
      <c r="N7" s="6"/>
      <c r="O7" s="6"/>
      <c r="P7" s="6">
        <v>367.09000000000003</v>
      </c>
      <c r="Q7" s="6">
        <v>3.28</v>
      </c>
      <c r="T7" s="54">
        <v>50</v>
      </c>
      <c r="U7" s="54">
        <v>0</v>
      </c>
      <c r="V7" s="54">
        <v>5</v>
      </c>
      <c r="W7" s="54">
        <v>369.38</v>
      </c>
    </row>
    <row r="8" spans="1:23" x14ac:dyDescent="0.35">
      <c r="A8" s="36">
        <v>50</v>
      </c>
      <c r="B8" s="46"/>
      <c r="C8" s="46"/>
      <c r="D8" s="46">
        <v>369.38</v>
      </c>
      <c r="E8" s="46">
        <v>3.53</v>
      </c>
      <c r="G8" s="36">
        <v>50</v>
      </c>
      <c r="H8" s="6"/>
      <c r="I8" s="6"/>
      <c r="J8" s="6">
        <v>375.25</v>
      </c>
      <c r="K8" s="6">
        <v>3.2</v>
      </c>
      <c r="M8" s="36">
        <v>50</v>
      </c>
      <c r="N8" s="6"/>
      <c r="O8" s="6"/>
      <c r="P8" s="6">
        <v>368.56</v>
      </c>
      <c r="Q8" s="6">
        <v>3.31</v>
      </c>
      <c r="T8" s="54">
        <v>55</v>
      </c>
      <c r="U8" s="54">
        <v>0</v>
      </c>
      <c r="V8" s="54">
        <v>5</v>
      </c>
      <c r="W8" s="54">
        <v>371.77</v>
      </c>
    </row>
    <row r="9" spans="1:23" x14ac:dyDescent="0.35">
      <c r="A9" s="36">
        <v>55</v>
      </c>
      <c r="B9" s="46"/>
      <c r="C9" s="46"/>
      <c r="D9" s="46">
        <v>371.77</v>
      </c>
      <c r="E9" s="46">
        <v>3.57</v>
      </c>
      <c r="G9" s="36">
        <v>55</v>
      </c>
      <c r="H9" s="6"/>
      <c r="I9" s="6"/>
      <c r="J9" s="6">
        <v>376.685</v>
      </c>
      <c r="K9" s="6">
        <v>3.24</v>
      </c>
      <c r="M9" s="36">
        <v>55</v>
      </c>
      <c r="N9" s="6"/>
      <c r="O9" s="6"/>
      <c r="P9" s="6">
        <v>370.71500000000003</v>
      </c>
      <c r="Q9" s="6">
        <v>3.35</v>
      </c>
      <c r="T9" s="54">
        <v>60</v>
      </c>
      <c r="U9" s="54">
        <v>0</v>
      </c>
      <c r="V9" s="54">
        <v>5</v>
      </c>
      <c r="W9" s="54">
        <v>372.83</v>
      </c>
    </row>
    <row r="10" spans="1:23" x14ac:dyDescent="0.35">
      <c r="A10" s="36">
        <v>60</v>
      </c>
      <c r="B10" s="46"/>
      <c r="C10" s="46"/>
      <c r="D10" s="46">
        <v>372.83</v>
      </c>
      <c r="E10" s="46">
        <v>3.61</v>
      </c>
      <c r="G10" s="36">
        <v>60</v>
      </c>
      <c r="H10" s="6"/>
      <c r="I10" s="6"/>
      <c r="J10" s="6">
        <v>377.12</v>
      </c>
      <c r="K10" s="6">
        <v>3.26</v>
      </c>
      <c r="M10" s="36">
        <v>60</v>
      </c>
      <c r="N10" s="6"/>
      <c r="O10" s="6"/>
      <c r="P10" s="6">
        <v>371.64499999999998</v>
      </c>
      <c r="Q10" s="6">
        <v>3.38</v>
      </c>
      <c r="T10" s="54">
        <v>65</v>
      </c>
      <c r="U10" s="54">
        <v>0</v>
      </c>
      <c r="V10" s="54">
        <v>5</v>
      </c>
      <c r="W10" s="54">
        <v>374.45500000000004</v>
      </c>
    </row>
    <row r="11" spans="1:23" x14ac:dyDescent="0.35">
      <c r="A11" s="36">
        <v>65</v>
      </c>
      <c r="B11" s="46"/>
      <c r="C11" s="46"/>
      <c r="D11" s="46">
        <v>374.45500000000004</v>
      </c>
      <c r="E11" s="46">
        <v>3.65</v>
      </c>
      <c r="G11" s="36">
        <v>65</v>
      </c>
      <c r="H11" s="6"/>
      <c r="I11" s="6"/>
      <c r="J11" s="6">
        <v>378.495</v>
      </c>
      <c r="K11" s="6">
        <v>3.3</v>
      </c>
      <c r="M11" s="36">
        <v>65</v>
      </c>
      <c r="N11" s="6"/>
      <c r="O11" s="6"/>
      <c r="P11" s="6">
        <v>371.63</v>
      </c>
      <c r="Q11" s="6">
        <v>3.41</v>
      </c>
      <c r="T11" s="54">
        <v>70</v>
      </c>
      <c r="U11" s="54">
        <v>0</v>
      </c>
      <c r="V11" s="54">
        <v>5</v>
      </c>
      <c r="W11" s="54">
        <v>375.38499999999999</v>
      </c>
    </row>
    <row r="12" spans="1:23" x14ac:dyDescent="0.35">
      <c r="A12" s="36">
        <v>70</v>
      </c>
      <c r="B12" s="46"/>
      <c r="C12" s="46"/>
      <c r="D12" s="46">
        <v>375.38499999999999</v>
      </c>
      <c r="E12" s="46">
        <v>3.68</v>
      </c>
      <c r="G12" s="36">
        <v>70</v>
      </c>
      <c r="H12" s="6"/>
      <c r="I12" s="6"/>
      <c r="J12" s="6">
        <v>380.07000000000005</v>
      </c>
      <c r="K12" s="6">
        <v>3.33</v>
      </c>
      <c r="M12" s="36">
        <v>70</v>
      </c>
      <c r="N12" s="6"/>
      <c r="O12" s="6"/>
      <c r="P12" s="6">
        <v>371.27</v>
      </c>
      <c r="Q12" s="6">
        <v>3.44</v>
      </c>
      <c r="T12" s="54">
        <v>75</v>
      </c>
      <c r="U12" s="54">
        <v>0</v>
      </c>
      <c r="V12" s="54">
        <v>5</v>
      </c>
      <c r="W12" s="54">
        <v>376.685</v>
      </c>
    </row>
    <row r="13" spans="1:23" x14ac:dyDescent="0.35">
      <c r="A13" s="36">
        <v>75</v>
      </c>
      <c r="B13" s="46"/>
      <c r="C13" s="46"/>
      <c r="D13" s="46">
        <v>376.685</v>
      </c>
      <c r="E13" s="46">
        <v>3.72</v>
      </c>
      <c r="G13" s="36">
        <v>75</v>
      </c>
      <c r="H13" s="6"/>
      <c r="I13" s="6"/>
      <c r="J13" s="6">
        <v>398.68</v>
      </c>
      <c r="K13" s="6">
        <v>3.415</v>
      </c>
      <c r="M13" s="36">
        <v>75</v>
      </c>
      <c r="N13" s="6"/>
      <c r="O13" s="6"/>
      <c r="P13" s="6">
        <v>370.09500000000003</v>
      </c>
      <c r="Q13" s="6">
        <v>3.9699999999999998</v>
      </c>
      <c r="T13" s="54">
        <v>30</v>
      </c>
      <c r="U13" s="54">
        <v>0.4</v>
      </c>
      <c r="V13" s="54">
        <v>5</v>
      </c>
      <c r="W13" s="54">
        <v>368.63</v>
      </c>
    </row>
    <row r="14" spans="1:23" x14ac:dyDescent="0.35">
      <c r="T14" s="54">
        <v>35</v>
      </c>
      <c r="U14" s="54">
        <v>0.4</v>
      </c>
      <c r="V14" s="54">
        <v>5</v>
      </c>
      <c r="W14" s="54">
        <v>370.42999999999995</v>
      </c>
    </row>
    <row r="15" spans="1:23" x14ac:dyDescent="0.35">
      <c r="T15" s="54">
        <v>40</v>
      </c>
      <c r="U15" s="54">
        <v>0.4</v>
      </c>
      <c r="V15" s="54">
        <v>5</v>
      </c>
      <c r="W15" s="54">
        <v>372.185</v>
      </c>
    </row>
    <row r="16" spans="1:23" x14ac:dyDescent="0.35">
      <c r="A16" s="40" t="s">
        <v>39</v>
      </c>
      <c r="B16" s="41">
        <v>0</v>
      </c>
      <c r="G16" s="40" t="s">
        <v>39</v>
      </c>
      <c r="H16" s="41">
        <v>0.49</v>
      </c>
      <c r="M16" s="40" t="s">
        <v>39</v>
      </c>
      <c r="N16" s="41">
        <v>0.33</v>
      </c>
      <c r="T16" s="54">
        <v>45</v>
      </c>
      <c r="U16" s="54">
        <v>0.4</v>
      </c>
      <c r="V16" s="54">
        <v>5</v>
      </c>
      <c r="W16" s="54">
        <v>373.53499999999997</v>
      </c>
    </row>
    <row r="17" spans="1:23" x14ac:dyDescent="0.35">
      <c r="A17" s="40" t="s">
        <v>83</v>
      </c>
      <c r="B17" s="41" t="s">
        <v>89</v>
      </c>
      <c r="G17" s="40" t="s">
        <v>83</v>
      </c>
      <c r="H17" s="41" t="s">
        <v>89</v>
      </c>
      <c r="M17" s="40" t="s">
        <v>83</v>
      </c>
      <c r="N17" s="41" t="s">
        <v>89</v>
      </c>
      <c r="T17" s="54">
        <v>50</v>
      </c>
      <c r="U17" s="54">
        <v>0.4</v>
      </c>
      <c r="V17" s="54">
        <v>5</v>
      </c>
      <c r="W17" s="54">
        <v>375.25</v>
      </c>
    </row>
    <row r="18" spans="1:23" ht="43.5" x14ac:dyDescent="0.35">
      <c r="A18" s="29" t="s">
        <v>1</v>
      </c>
      <c r="B18" s="29" t="s">
        <v>0</v>
      </c>
      <c r="C18" s="29" t="s">
        <v>11</v>
      </c>
      <c r="D18" s="27" t="s">
        <v>21</v>
      </c>
      <c r="E18" s="27" t="s">
        <v>32</v>
      </c>
      <c r="G18" s="29" t="s">
        <v>1</v>
      </c>
      <c r="H18" s="29" t="s">
        <v>0</v>
      </c>
      <c r="I18" s="29" t="s">
        <v>11</v>
      </c>
      <c r="J18" s="27" t="s">
        <v>21</v>
      </c>
      <c r="K18" s="27" t="s">
        <v>32</v>
      </c>
      <c r="M18" s="29" t="s">
        <v>1</v>
      </c>
      <c r="N18" s="29" t="s">
        <v>0</v>
      </c>
      <c r="O18" s="29" t="s">
        <v>11</v>
      </c>
      <c r="P18" s="27" t="s">
        <v>21</v>
      </c>
      <c r="Q18" s="27" t="s">
        <v>32</v>
      </c>
      <c r="T18" s="54">
        <v>55</v>
      </c>
      <c r="U18" s="54">
        <v>0.4</v>
      </c>
      <c r="V18" s="54">
        <v>5</v>
      </c>
      <c r="W18" s="54">
        <v>376.685</v>
      </c>
    </row>
    <row r="19" spans="1:23" x14ac:dyDescent="0.35">
      <c r="A19" s="36">
        <v>30</v>
      </c>
      <c r="B19" s="6">
        <v>0.99185999999999996</v>
      </c>
      <c r="C19" s="6">
        <v>2.2280000000000002</v>
      </c>
      <c r="D19" s="6">
        <v>451.20000000000005</v>
      </c>
      <c r="E19" s="6">
        <v>3.74</v>
      </c>
      <c r="G19" s="36">
        <v>30</v>
      </c>
      <c r="H19" s="6">
        <v>1.06593</v>
      </c>
      <c r="I19" s="6">
        <v>2.9129999999999998</v>
      </c>
      <c r="J19" s="6">
        <v>455.57500000000005</v>
      </c>
      <c r="K19" s="6">
        <v>3.5</v>
      </c>
      <c r="M19" s="36">
        <v>30</v>
      </c>
      <c r="N19" s="6">
        <v>1.04433</v>
      </c>
      <c r="O19" s="6">
        <v>2.742</v>
      </c>
      <c r="P19" s="6">
        <v>453.79999999999995</v>
      </c>
      <c r="Q19" s="6">
        <v>3.56</v>
      </c>
      <c r="T19" s="54">
        <v>60</v>
      </c>
      <c r="U19" s="54">
        <v>0.4</v>
      </c>
      <c r="V19" s="54">
        <v>5</v>
      </c>
      <c r="W19" s="54">
        <v>377.12</v>
      </c>
    </row>
    <row r="20" spans="1:23" x14ac:dyDescent="0.35">
      <c r="A20" s="36">
        <v>35</v>
      </c>
      <c r="B20" s="6">
        <v>0.98912</v>
      </c>
      <c r="C20" s="6">
        <v>1.853</v>
      </c>
      <c r="D20" s="6">
        <v>456.19</v>
      </c>
      <c r="E20" s="6">
        <v>3.78</v>
      </c>
      <c r="G20" s="36">
        <v>35</v>
      </c>
      <c r="H20" s="6">
        <v>1.0629200000000001</v>
      </c>
      <c r="I20" s="6">
        <v>2.4510000000000001</v>
      </c>
      <c r="J20" s="6">
        <v>458.89</v>
      </c>
      <c r="K20" s="6">
        <v>3.52</v>
      </c>
      <c r="M20" s="36">
        <v>35</v>
      </c>
      <c r="N20" s="6">
        <v>1.0413300000000001</v>
      </c>
      <c r="O20" s="6">
        <v>2.2989999999999999</v>
      </c>
      <c r="P20" s="6">
        <v>457.20000000000005</v>
      </c>
      <c r="Q20" s="6">
        <v>3.59</v>
      </c>
      <c r="T20" s="54">
        <v>65</v>
      </c>
      <c r="U20" s="54">
        <v>0.4</v>
      </c>
      <c r="V20" s="54">
        <v>5</v>
      </c>
      <c r="W20" s="54">
        <v>378.495</v>
      </c>
    </row>
    <row r="21" spans="1:23" x14ac:dyDescent="0.35">
      <c r="A21" s="36">
        <v>40</v>
      </c>
      <c r="B21" s="6">
        <v>0.98619999999999997</v>
      </c>
      <c r="C21" s="6">
        <v>1.5660000000000001</v>
      </c>
      <c r="D21" s="6">
        <v>459.96000000000004</v>
      </c>
      <c r="E21" s="6">
        <v>3.8</v>
      </c>
      <c r="G21" s="36">
        <v>40</v>
      </c>
      <c r="H21" s="6">
        <v>1.0598099999999999</v>
      </c>
      <c r="I21" s="6">
        <v>2.09</v>
      </c>
      <c r="J21" s="6">
        <v>462.9</v>
      </c>
      <c r="K21" s="6">
        <v>3.55</v>
      </c>
      <c r="M21" s="36">
        <v>40</v>
      </c>
      <c r="N21" s="6">
        <v>1.0382</v>
      </c>
      <c r="O21" s="6">
        <v>1.952</v>
      </c>
      <c r="P21" s="6">
        <v>460.86500000000001</v>
      </c>
      <c r="Q21" s="6">
        <v>3.62</v>
      </c>
      <c r="T21" s="54">
        <v>70</v>
      </c>
      <c r="U21" s="54">
        <v>0.4</v>
      </c>
      <c r="V21" s="54">
        <v>5</v>
      </c>
      <c r="W21" s="54">
        <v>380.07000000000005</v>
      </c>
    </row>
    <row r="22" spans="1:23" x14ac:dyDescent="0.35">
      <c r="A22" s="36">
        <v>45</v>
      </c>
      <c r="B22" s="6"/>
      <c r="C22" s="6"/>
      <c r="D22" s="6">
        <v>463.74</v>
      </c>
      <c r="E22" s="6">
        <v>3.83</v>
      </c>
      <c r="G22" s="36">
        <v>45</v>
      </c>
      <c r="H22" s="6"/>
      <c r="I22" s="6"/>
      <c r="J22" s="6">
        <v>466.24</v>
      </c>
      <c r="K22" s="6">
        <v>3.57</v>
      </c>
      <c r="M22" s="36">
        <v>45</v>
      </c>
      <c r="N22" s="6"/>
      <c r="O22" s="6"/>
      <c r="P22" s="6">
        <v>463.92</v>
      </c>
      <c r="Q22" s="6">
        <v>3.64</v>
      </c>
      <c r="T22" s="54">
        <v>75</v>
      </c>
      <c r="U22" s="54">
        <v>0.4</v>
      </c>
      <c r="V22" s="54">
        <v>5</v>
      </c>
      <c r="W22" s="54">
        <v>398.68</v>
      </c>
    </row>
    <row r="23" spans="1:23" x14ac:dyDescent="0.35">
      <c r="A23" s="36">
        <v>50</v>
      </c>
      <c r="B23" s="6"/>
      <c r="C23" s="6"/>
      <c r="D23" s="6">
        <v>467.07</v>
      </c>
      <c r="E23" s="6">
        <v>3.85</v>
      </c>
      <c r="G23" s="36">
        <v>50</v>
      </c>
      <c r="H23" s="6"/>
      <c r="I23" s="6"/>
      <c r="J23" s="6">
        <v>469.61</v>
      </c>
      <c r="K23" s="6">
        <v>3.59</v>
      </c>
      <c r="M23" s="36">
        <v>50</v>
      </c>
      <c r="N23" s="6"/>
      <c r="O23" s="6"/>
      <c r="P23" s="6">
        <v>460.935</v>
      </c>
      <c r="Q23" s="6">
        <v>3.66</v>
      </c>
      <c r="T23" s="54">
        <v>30</v>
      </c>
      <c r="U23" s="54">
        <v>0.28000000000000003</v>
      </c>
      <c r="V23" s="54">
        <v>5</v>
      </c>
      <c r="W23" s="54">
        <v>360.39</v>
      </c>
    </row>
    <row r="24" spans="1:23" x14ac:dyDescent="0.35">
      <c r="A24" s="36">
        <v>55</v>
      </c>
      <c r="B24" s="6"/>
      <c r="C24" s="6"/>
      <c r="D24" s="6">
        <v>470.98</v>
      </c>
      <c r="E24" s="6">
        <v>3.875</v>
      </c>
      <c r="G24" s="36">
        <v>55</v>
      </c>
      <c r="H24" s="6"/>
      <c r="I24" s="6"/>
      <c r="J24" s="6">
        <v>473.03999999999996</v>
      </c>
      <c r="K24" s="6">
        <v>3.61</v>
      </c>
      <c r="M24" s="36">
        <v>55</v>
      </c>
      <c r="N24" s="6"/>
      <c r="O24" s="6"/>
      <c r="P24" s="6">
        <v>468.33</v>
      </c>
      <c r="Q24" s="6">
        <v>3.68</v>
      </c>
      <c r="T24" s="54">
        <v>35</v>
      </c>
      <c r="U24" s="54">
        <v>0.28000000000000003</v>
      </c>
      <c r="V24" s="54">
        <v>5</v>
      </c>
      <c r="W24" s="54">
        <v>362.505</v>
      </c>
    </row>
    <row r="25" spans="1:23" x14ac:dyDescent="0.35">
      <c r="A25" s="36">
        <v>60</v>
      </c>
      <c r="B25" s="6"/>
      <c r="C25" s="6"/>
      <c r="D25" s="6">
        <v>473.42</v>
      </c>
      <c r="E25" s="6">
        <v>3.89</v>
      </c>
      <c r="G25" s="36">
        <v>60</v>
      </c>
      <c r="H25" s="6"/>
      <c r="I25" s="6"/>
      <c r="J25" s="6">
        <v>474.84500000000003</v>
      </c>
      <c r="K25" s="6">
        <v>3.63</v>
      </c>
      <c r="M25" s="36">
        <v>60</v>
      </c>
      <c r="N25" s="6"/>
      <c r="O25" s="6"/>
      <c r="P25" s="6">
        <v>470.55999999999995</v>
      </c>
      <c r="Q25" s="6">
        <v>3.69</v>
      </c>
      <c r="T25" s="54">
        <v>40</v>
      </c>
      <c r="U25" s="54">
        <v>0.28000000000000003</v>
      </c>
      <c r="V25" s="54">
        <v>5</v>
      </c>
      <c r="W25" s="54">
        <v>364.89</v>
      </c>
    </row>
    <row r="26" spans="1:23" x14ac:dyDescent="0.35">
      <c r="A26" s="36">
        <v>65</v>
      </c>
      <c r="B26" s="6"/>
      <c r="C26" s="6"/>
      <c r="D26" s="6">
        <v>476.95500000000004</v>
      </c>
      <c r="E26" s="6">
        <v>3.91</v>
      </c>
      <c r="G26" s="36">
        <v>65</v>
      </c>
      <c r="H26" s="6"/>
      <c r="I26" s="6"/>
      <c r="J26" s="6">
        <v>474.6</v>
      </c>
      <c r="K26" s="6">
        <v>3.64</v>
      </c>
      <c r="M26" s="36">
        <v>65</v>
      </c>
      <c r="N26" s="6"/>
      <c r="O26" s="6"/>
      <c r="P26" s="6">
        <v>472.17500000000001</v>
      </c>
      <c r="Q26" s="6">
        <v>3.71</v>
      </c>
      <c r="T26" s="54">
        <v>45</v>
      </c>
      <c r="U26" s="54">
        <v>0.28000000000000003</v>
      </c>
      <c r="V26" s="54">
        <v>5</v>
      </c>
      <c r="W26" s="54">
        <v>367.09000000000003</v>
      </c>
    </row>
    <row r="27" spans="1:23" x14ac:dyDescent="0.35">
      <c r="A27" s="36">
        <v>70</v>
      </c>
      <c r="B27" s="6"/>
      <c r="C27" s="6"/>
      <c r="D27" s="6">
        <v>478.44</v>
      </c>
      <c r="E27" s="6">
        <v>3.93</v>
      </c>
      <c r="G27" s="36">
        <v>70</v>
      </c>
      <c r="H27" s="6"/>
      <c r="I27" s="6"/>
      <c r="J27" s="6">
        <v>474.375</v>
      </c>
      <c r="K27" s="6">
        <v>3.65</v>
      </c>
      <c r="M27" s="36">
        <v>70</v>
      </c>
      <c r="N27" s="6"/>
      <c r="O27" s="6"/>
      <c r="P27" s="6">
        <v>473.39499999999998</v>
      </c>
      <c r="Q27" s="6">
        <v>3.72</v>
      </c>
      <c r="T27" s="54">
        <v>50</v>
      </c>
      <c r="U27" s="54">
        <v>0.28000000000000003</v>
      </c>
      <c r="V27" s="54">
        <v>5</v>
      </c>
      <c r="W27" s="54">
        <v>368.56</v>
      </c>
    </row>
    <row r="28" spans="1:23" x14ac:dyDescent="0.35">
      <c r="A28" s="36">
        <v>75</v>
      </c>
      <c r="B28" s="6"/>
      <c r="C28" s="6"/>
      <c r="D28" s="6">
        <v>480.29500000000002</v>
      </c>
      <c r="E28" s="6">
        <v>3.94</v>
      </c>
      <c r="G28" s="36">
        <v>75</v>
      </c>
      <c r="H28" s="6"/>
      <c r="I28" s="6"/>
      <c r="J28" s="6">
        <v>478.94000000000005</v>
      </c>
      <c r="K28" s="6">
        <v>3.67</v>
      </c>
      <c r="M28" s="36">
        <v>75</v>
      </c>
      <c r="N28" s="6"/>
      <c r="O28" s="6"/>
      <c r="P28" s="6">
        <v>475</v>
      </c>
      <c r="Q28" s="6">
        <v>3.74</v>
      </c>
      <c r="T28" s="54">
        <v>55</v>
      </c>
      <c r="U28" s="54">
        <v>0.28000000000000003</v>
      </c>
      <c r="V28" s="54">
        <v>5</v>
      </c>
      <c r="W28" s="54">
        <v>370.71500000000003</v>
      </c>
    </row>
    <row r="29" spans="1:23" x14ac:dyDescent="0.35">
      <c r="T29" s="54">
        <v>60</v>
      </c>
      <c r="U29" s="54">
        <v>0.28000000000000003</v>
      </c>
      <c r="V29" s="54">
        <v>5</v>
      </c>
      <c r="W29" s="54">
        <v>371.64499999999998</v>
      </c>
    </row>
    <row r="30" spans="1:23" x14ac:dyDescent="0.35">
      <c r="A30" s="42" t="s">
        <v>39</v>
      </c>
      <c r="B30" s="43">
        <v>0</v>
      </c>
      <c r="G30" s="42" t="s">
        <v>39</v>
      </c>
      <c r="H30" s="43">
        <v>0.54</v>
      </c>
      <c r="M30" s="42" t="s">
        <v>39</v>
      </c>
      <c r="N30" s="43">
        <v>0.36</v>
      </c>
      <c r="T30" s="54">
        <v>65</v>
      </c>
      <c r="U30" s="54">
        <v>0.28000000000000003</v>
      </c>
      <c r="V30" s="54">
        <v>5</v>
      </c>
      <c r="W30" s="54">
        <v>371.63</v>
      </c>
    </row>
    <row r="31" spans="1:23" x14ac:dyDescent="0.35">
      <c r="A31" s="42" t="s">
        <v>83</v>
      </c>
      <c r="B31" s="43" t="s">
        <v>90</v>
      </c>
      <c r="G31" s="42" t="s">
        <v>83</v>
      </c>
      <c r="H31" s="43" t="s">
        <v>90</v>
      </c>
      <c r="M31" s="42" t="s">
        <v>83</v>
      </c>
      <c r="N31" s="43" t="s">
        <v>91</v>
      </c>
      <c r="T31" s="54">
        <v>70</v>
      </c>
      <c r="U31" s="54">
        <v>0.28000000000000003</v>
      </c>
      <c r="V31" s="54">
        <v>5</v>
      </c>
      <c r="W31" s="54">
        <v>371.27</v>
      </c>
    </row>
    <row r="32" spans="1:23" ht="43.5" x14ac:dyDescent="0.35">
      <c r="A32" s="29" t="s">
        <v>1</v>
      </c>
      <c r="B32" s="29" t="s">
        <v>0</v>
      </c>
      <c r="C32" s="29" t="s">
        <v>11</v>
      </c>
      <c r="D32" s="27" t="s">
        <v>21</v>
      </c>
      <c r="E32" s="27" t="s">
        <v>32</v>
      </c>
      <c r="G32" s="29" t="s">
        <v>1</v>
      </c>
      <c r="H32" s="29" t="s">
        <v>0</v>
      </c>
      <c r="I32" s="29" t="s">
        <v>11</v>
      </c>
      <c r="J32" s="27" t="s">
        <v>21</v>
      </c>
      <c r="K32" s="27" t="s">
        <v>32</v>
      </c>
      <c r="M32" s="29" t="s">
        <v>1</v>
      </c>
      <c r="N32" s="29" t="s">
        <v>0</v>
      </c>
      <c r="O32" s="29" t="s">
        <v>11</v>
      </c>
      <c r="P32" s="27" t="s">
        <v>21</v>
      </c>
      <c r="Q32" s="27" t="s">
        <v>32</v>
      </c>
      <c r="T32" s="54">
        <v>75</v>
      </c>
      <c r="U32" s="54">
        <v>0.28000000000000003</v>
      </c>
      <c r="V32" s="54">
        <v>5</v>
      </c>
      <c r="W32" s="54">
        <v>370.09500000000003</v>
      </c>
    </row>
    <row r="33" spans="1:23" x14ac:dyDescent="0.35">
      <c r="A33" s="36">
        <v>30</v>
      </c>
      <c r="B33" s="6">
        <v>0.99343999999999999</v>
      </c>
      <c r="C33" s="6">
        <v>1.456</v>
      </c>
      <c r="D33" s="6">
        <v>499.42500000000001</v>
      </c>
      <c r="E33" s="6">
        <v>3.9</v>
      </c>
      <c r="G33" s="36">
        <v>30</v>
      </c>
      <c r="H33" s="6">
        <v>1.0466899999999999</v>
      </c>
      <c r="I33" s="6">
        <v>1.661</v>
      </c>
      <c r="J33" s="6">
        <v>505.34500000000003</v>
      </c>
      <c r="K33" s="6">
        <v>3.72</v>
      </c>
      <c r="M33" s="36">
        <v>30</v>
      </c>
      <c r="N33" s="6">
        <v>1.0303500000000001</v>
      </c>
      <c r="O33" s="6">
        <v>1.6279999999999999</v>
      </c>
      <c r="P33" s="6">
        <v>501.02</v>
      </c>
      <c r="Q33" s="6">
        <v>3.77</v>
      </c>
      <c r="T33" s="54">
        <v>30</v>
      </c>
      <c r="U33" s="54">
        <v>0</v>
      </c>
      <c r="V33" s="54">
        <v>3</v>
      </c>
      <c r="W33" s="54">
        <v>451.20000000000005</v>
      </c>
    </row>
    <row r="34" spans="1:23" x14ac:dyDescent="0.35">
      <c r="A34" s="36">
        <v>35</v>
      </c>
      <c r="B34" s="6">
        <v>0.99112999999999996</v>
      </c>
      <c r="C34" s="6">
        <v>1.246</v>
      </c>
      <c r="D34" s="6">
        <v>504.15</v>
      </c>
      <c r="E34" s="6">
        <v>3.92</v>
      </c>
      <c r="G34" s="36">
        <v>35</v>
      </c>
      <c r="H34" s="6">
        <v>1.0441800000000001</v>
      </c>
      <c r="I34" s="6">
        <v>1.4379999999999999</v>
      </c>
      <c r="J34" s="6">
        <v>510.14499999999998</v>
      </c>
      <c r="K34" s="6">
        <v>3.74</v>
      </c>
      <c r="M34" s="36">
        <v>35</v>
      </c>
      <c r="N34" s="6">
        <v>1.0277700000000001</v>
      </c>
      <c r="O34" s="6">
        <v>1.401</v>
      </c>
      <c r="P34" s="6">
        <v>506.28499999999997</v>
      </c>
      <c r="Q34" s="6">
        <v>3.79</v>
      </c>
      <c r="T34" s="54">
        <v>35</v>
      </c>
      <c r="U34" s="54">
        <v>0</v>
      </c>
      <c r="V34" s="54">
        <v>3</v>
      </c>
      <c r="W34" s="54">
        <v>456.19</v>
      </c>
    </row>
    <row r="35" spans="1:23" x14ac:dyDescent="0.35">
      <c r="A35" s="36">
        <v>40</v>
      </c>
      <c r="B35" s="6">
        <v>0.98855000000000004</v>
      </c>
      <c r="C35" s="6">
        <v>1.08</v>
      </c>
      <c r="D35" s="6">
        <v>508.86</v>
      </c>
      <c r="E35" s="6">
        <v>3.94</v>
      </c>
      <c r="G35" s="36">
        <v>40</v>
      </c>
      <c r="H35" s="6">
        <v>1.04149</v>
      </c>
      <c r="I35" s="6">
        <v>1.258</v>
      </c>
      <c r="J35" s="6">
        <v>514.70500000000004</v>
      </c>
      <c r="K35" s="6">
        <v>3.76</v>
      </c>
      <c r="M35" s="36">
        <v>40</v>
      </c>
      <c r="N35" s="6">
        <v>1.02501</v>
      </c>
      <c r="O35" s="6">
        <v>1.218</v>
      </c>
      <c r="P35" s="6">
        <v>460.58500000000004</v>
      </c>
      <c r="Q35" s="6">
        <v>3.8049999999999997</v>
      </c>
      <c r="T35" s="54">
        <v>40</v>
      </c>
      <c r="U35" s="54">
        <v>0</v>
      </c>
      <c r="V35" s="54">
        <v>3</v>
      </c>
      <c r="W35" s="54">
        <v>459.96000000000004</v>
      </c>
    </row>
    <row r="36" spans="1:23" x14ac:dyDescent="0.35">
      <c r="A36" s="36">
        <v>45</v>
      </c>
      <c r="B36" s="6"/>
      <c r="C36" s="6"/>
      <c r="D36" s="6">
        <v>513.88</v>
      </c>
      <c r="E36" s="6">
        <v>3.96</v>
      </c>
      <c r="G36" s="36">
        <v>45</v>
      </c>
      <c r="H36" s="6"/>
      <c r="I36" s="6"/>
      <c r="J36" s="6">
        <v>519.31999999999994</v>
      </c>
      <c r="K36" s="6">
        <v>3.77</v>
      </c>
      <c r="M36" s="36">
        <v>45</v>
      </c>
      <c r="N36" s="6"/>
      <c r="O36" s="6"/>
      <c r="P36" s="6">
        <v>514.79</v>
      </c>
      <c r="Q36" s="6">
        <v>3.82</v>
      </c>
      <c r="T36" s="54">
        <v>45</v>
      </c>
      <c r="U36" s="54">
        <v>0</v>
      </c>
      <c r="V36" s="54">
        <v>3</v>
      </c>
      <c r="W36" s="54">
        <v>463.74</v>
      </c>
    </row>
    <row r="37" spans="1:23" x14ac:dyDescent="0.35">
      <c r="A37" s="36">
        <v>50</v>
      </c>
      <c r="B37" s="6"/>
      <c r="C37" s="6"/>
      <c r="D37" s="6">
        <v>519.05499999999995</v>
      </c>
      <c r="E37" s="6">
        <v>3.97</v>
      </c>
      <c r="G37" s="36">
        <v>50</v>
      </c>
      <c r="H37" s="6"/>
      <c r="I37" s="6"/>
      <c r="J37" s="6">
        <v>521.75</v>
      </c>
      <c r="K37" s="6">
        <v>3.78</v>
      </c>
      <c r="M37" s="36">
        <v>50</v>
      </c>
      <c r="N37" s="6"/>
      <c r="O37" s="6"/>
      <c r="P37" s="6">
        <v>517.40499999999997</v>
      </c>
      <c r="Q37" s="6">
        <v>3.83</v>
      </c>
      <c r="T37" s="54">
        <v>50</v>
      </c>
      <c r="U37" s="54">
        <v>0</v>
      </c>
      <c r="V37" s="54">
        <v>3</v>
      </c>
      <c r="W37" s="54">
        <v>467.07</v>
      </c>
    </row>
    <row r="38" spans="1:23" x14ac:dyDescent="0.35">
      <c r="A38" s="36">
        <v>55</v>
      </c>
      <c r="B38" s="6"/>
      <c r="C38" s="6"/>
      <c r="D38" s="6">
        <v>523.47</v>
      </c>
      <c r="E38" s="6">
        <v>3.98</v>
      </c>
      <c r="G38" s="36">
        <v>55</v>
      </c>
      <c r="H38" s="6"/>
      <c r="I38" s="6"/>
      <c r="J38" s="6">
        <v>524.78500000000008</v>
      </c>
      <c r="K38" s="6">
        <v>3.78</v>
      </c>
      <c r="M38" s="36">
        <v>55</v>
      </c>
      <c r="N38" s="6"/>
      <c r="O38" s="6"/>
      <c r="P38" s="6">
        <v>520.76</v>
      </c>
      <c r="Q38" s="6">
        <v>3.84</v>
      </c>
      <c r="T38" s="54">
        <v>55</v>
      </c>
      <c r="U38" s="54">
        <v>0</v>
      </c>
      <c r="V38" s="54">
        <v>3</v>
      </c>
      <c r="W38" s="54">
        <v>470.98</v>
      </c>
    </row>
    <row r="39" spans="1:23" x14ac:dyDescent="0.35">
      <c r="A39" s="36">
        <v>60</v>
      </c>
      <c r="B39" s="6"/>
      <c r="C39" s="6"/>
      <c r="D39" s="6">
        <v>526.70000000000005</v>
      </c>
      <c r="E39" s="6">
        <v>3.99</v>
      </c>
      <c r="G39" s="36">
        <v>60</v>
      </c>
      <c r="H39" s="6"/>
      <c r="I39" s="6"/>
      <c r="J39" s="6">
        <v>524.43000000000006</v>
      </c>
      <c r="K39" s="6">
        <v>3.78</v>
      </c>
      <c r="M39" s="36">
        <v>60</v>
      </c>
      <c r="N39" s="6"/>
      <c r="O39" s="6"/>
      <c r="P39" s="6">
        <v>522.54999999999995</v>
      </c>
      <c r="Q39" s="6">
        <v>3.84</v>
      </c>
      <c r="T39" s="54">
        <v>60</v>
      </c>
      <c r="U39" s="54">
        <v>0</v>
      </c>
      <c r="V39" s="54">
        <v>3</v>
      </c>
      <c r="W39" s="54">
        <v>473.42</v>
      </c>
    </row>
    <row r="40" spans="1:23" x14ac:dyDescent="0.35">
      <c r="A40" s="36">
        <v>65</v>
      </c>
      <c r="B40" s="6"/>
      <c r="C40" s="6"/>
      <c r="D40" s="6">
        <v>530.29999999999995</v>
      </c>
      <c r="E40" s="6">
        <v>3.99</v>
      </c>
      <c r="G40" s="36">
        <v>65</v>
      </c>
      <c r="H40" s="6"/>
      <c r="I40" s="6"/>
      <c r="J40" s="6">
        <v>526.43499999999995</v>
      </c>
      <c r="K40" s="6">
        <v>3.79</v>
      </c>
      <c r="M40" s="36">
        <v>65</v>
      </c>
      <c r="N40" s="6"/>
      <c r="O40" s="6"/>
      <c r="P40" s="6">
        <v>525.47499999999991</v>
      </c>
      <c r="Q40" s="6">
        <v>3.85</v>
      </c>
      <c r="T40" s="54">
        <v>65</v>
      </c>
      <c r="U40" s="54">
        <v>0</v>
      </c>
      <c r="V40" s="54">
        <v>3</v>
      </c>
      <c r="W40" s="54">
        <v>476.95500000000004</v>
      </c>
    </row>
    <row r="41" spans="1:23" x14ac:dyDescent="0.35">
      <c r="A41" s="36">
        <v>70</v>
      </c>
      <c r="B41" s="6"/>
      <c r="C41" s="6"/>
      <c r="D41" s="6">
        <v>531.59500000000003</v>
      </c>
      <c r="E41" s="6">
        <v>3.99</v>
      </c>
      <c r="G41" s="36">
        <v>70</v>
      </c>
      <c r="H41" s="6"/>
      <c r="I41" s="6"/>
      <c r="J41" s="6">
        <v>526.76499999999999</v>
      </c>
      <c r="K41" s="6">
        <v>3.79</v>
      </c>
      <c r="M41" s="36">
        <v>70</v>
      </c>
      <c r="N41" s="6"/>
      <c r="O41" s="6"/>
      <c r="P41" s="6">
        <v>526.29</v>
      </c>
      <c r="Q41" s="6">
        <v>3.85</v>
      </c>
      <c r="T41" s="54">
        <v>70</v>
      </c>
      <c r="U41" s="54">
        <v>0</v>
      </c>
      <c r="V41" s="54">
        <v>3</v>
      </c>
      <c r="W41" s="54">
        <v>478.44</v>
      </c>
    </row>
    <row r="42" spans="1:23" x14ac:dyDescent="0.35">
      <c r="A42" s="36">
        <v>75</v>
      </c>
      <c r="B42" s="6"/>
      <c r="C42" s="6"/>
      <c r="D42" s="6">
        <v>533.77</v>
      </c>
      <c r="E42" s="6">
        <v>4</v>
      </c>
      <c r="G42" s="36">
        <v>75</v>
      </c>
      <c r="H42" s="6"/>
      <c r="I42" s="6"/>
      <c r="J42" s="6">
        <v>527.15000000000009</v>
      </c>
      <c r="K42" s="6">
        <v>3.79</v>
      </c>
      <c r="M42" s="36">
        <v>75</v>
      </c>
      <c r="N42" s="6"/>
      <c r="O42" s="6"/>
      <c r="P42" s="6">
        <v>527.07500000000005</v>
      </c>
      <c r="Q42" s="6">
        <v>3.85</v>
      </c>
      <c r="T42" s="54">
        <v>75</v>
      </c>
      <c r="U42" s="54">
        <v>0</v>
      </c>
      <c r="V42" s="54">
        <v>3</v>
      </c>
      <c r="W42" s="54">
        <v>480.29500000000002</v>
      </c>
    </row>
    <row r="43" spans="1:23" x14ac:dyDescent="0.35">
      <c r="T43" s="54">
        <v>30</v>
      </c>
      <c r="U43" s="54">
        <v>0.49</v>
      </c>
      <c r="V43" s="54">
        <v>3</v>
      </c>
      <c r="W43" s="54">
        <v>455.57500000000005</v>
      </c>
    </row>
    <row r="44" spans="1:23" x14ac:dyDescent="0.35">
      <c r="T44" s="54">
        <v>35</v>
      </c>
      <c r="U44" s="54">
        <v>0.49</v>
      </c>
      <c r="V44" s="54">
        <v>3</v>
      </c>
      <c r="W44" s="54">
        <v>458.89</v>
      </c>
    </row>
    <row r="45" spans="1:23" x14ac:dyDescent="0.35">
      <c r="T45" s="54">
        <v>40</v>
      </c>
      <c r="U45" s="54">
        <v>0.49</v>
      </c>
      <c r="V45" s="54">
        <v>3</v>
      </c>
      <c r="W45" s="54">
        <v>462.9</v>
      </c>
    </row>
    <row r="46" spans="1:23" x14ac:dyDescent="0.35">
      <c r="T46" s="54">
        <v>45</v>
      </c>
      <c r="U46" s="54">
        <v>0.49</v>
      </c>
      <c r="V46" s="54">
        <v>3</v>
      </c>
      <c r="W46" s="54">
        <v>466.24</v>
      </c>
    </row>
    <row r="47" spans="1:23" x14ac:dyDescent="0.35">
      <c r="T47" s="54">
        <v>50</v>
      </c>
      <c r="U47" s="54">
        <v>0.49</v>
      </c>
      <c r="V47" s="54">
        <v>3</v>
      </c>
      <c r="W47" s="54">
        <v>469.61</v>
      </c>
    </row>
    <row r="48" spans="1:23" x14ac:dyDescent="0.35">
      <c r="T48" s="54">
        <v>55</v>
      </c>
      <c r="U48" s="54">
        <v>0.49</v>
      </c>
      <c r="V48" s="54">
        <v>3</v>
      </c>
      <c r="W48" s="54">
        <v>473.03999999999996</v>
      </c>
    </row>
    <row r="49" spans="20:23" x14ac:dyDescent="0.35">
      <c r="T49" s="54">
        <v>60</v>
      </c>
      <c r="U49" s="54">
        <v>0.49</v>
      </c>
      <c r="V49" s="54">
        <v>3</v>
      </c>
      <c r="W49" s="54">
        <v>474.84500000000003</v>
      </c>
    </row>
    <row r="50" spans="20:23" x14ac:dyDescent="0.35">
      <c r="T50" s="54">
        <v>65</v>
      </c>
      <c r="U50" s="54">
        <v>0.49</v>
      </c>
      <c r="V50" s="54">
        <v>3</v>
      </c>
      <c r="W50" s="54">
        <v>474.6</v>
      </c>
    </row>
    <row r="51" spans="20:23" x14ac:dyDescent="0.35">
      <c r="T51" s="54">
        <v>70</v>
      </c>
      <c r="U51" s="54">
        <v>0.49</v>
      </c>
      <c r="V51" s="54">
        <v>3</v>
      </c>
      <c r="W51" s="54">
        <v>474.375</v>
      </c>
    </row>
    <row r="52" spans="20:23" x14ac:dyDescent="0.35">
      <c r="T52" s="54">
        <v>75</v>
      </c>
      <c r="U52" s="54">
        <v>0.49</v>
      </c>
      <c r="V52" s="54">
        <v>3</v>
      </c>
      <c r="W52" s="54">
        <v>478.94000000000005</v>
      </c>
    </row>
    <row r="53" spans="20:23" x14ac:dyDescent="0.35">
      <c r="T53" s="54">
        <v>30</v>
      </c>
      <c r="U53" s="54">
        <v>0.33</v>
      </c>
      <c r="V53" s="54">
        <v>3</v>
      </c>
      <c r="W53" s="54">
        <v>453.79999999999995</v>
      </c>
    </row>
    <row r="54" spans="20:23" x14ac:dyDescent="0.35">
      <c r="T54" s="54">
        <v>35</v>
      </c>
      <c r="U54" s="54">
        <v>0.33</v>
      </c>
      <c r="V54" s="54">
        <v>3</v>
      </c>
      <c r="W54" s="54">
        <v>457.20000000000005</v>
      </c>
    </row>
    <row r="55" spans="20:23" x14ac:dyDescent="0.35">
      <c r="T55" s="54">
        <v>40</v>
      </c>
      <c r="U55" s="54">
        <v>0.33</v>
      </c>
      <c r="V55" s="54">
        <v>3</v>
      </c>
      <c r="W55" s="54">
        <v>460.86500000000001</v>
      </c>
    </row>
    <row r="56" spans="20:23" x14ac:dyDescent="0.35">
      <c r="T56" s="54">
        <v>45</v>
      </c>
      <c r="U56" s="54">
        <v>0.33</v>
      </c>
      <c r="V56" s="54">
        <v>3</v>
      </c>
      <c r="W56" s="54">
        <v>463.92</v>
      </c>
    </row>
    <row r="57" spans="20:23" x14ac:dyDescent="0.35">
      <c r="T57" s="54">
        <v>50</v>
      </c>
      <c r="U57" s="54">
        <v>0.33</v>
      </c>
      <c r="V57" s="54">
        <v>3</v>
      </c>
      <c r="W57" s="54">
        <v>460.935</v>
      </c>
    </row>
    <row r="58" spans="20:23" x14ac:dyDescent="0.35">
      <c r="T58" s="54">
        <v>55</v>
      </c>
      <c r="U58" s="54">
        <v>0.33</v>
      </c>
      <c r="V58" s="54">
        <v>3</v>
      </c>
      <c r="W58" s="54">
        <v>468.33</v>
      </c>
    </row>
    <row r="59" spans="20:23" x14ac:dyDescent="0.35">
      <c r="T59" s="54">
        <v>60</v>
      </c>
      <c r="U59" s="54">
        <v>0.33</v>
      </c>
      <c r="V59" s="54">
        <v>3</v>
      </c>
      <c r="W59" s="54">
        <v>470.55999999999995</v>
      </c>
    </row>
    <row r="60" spans="20:23" x14ac:dyDescent="0.35">
      <c r="T60" s="54">
        <v>65</v>
      </c>
      <c r="U60" s="54">
        <v>0.33</v>
      </c>
      <c r="V60" s="54">
        <v>3</v>
      </c>
      <c r="W60" s="54">
        <v>472.17500000000001</v>
      </c>
    </row>
    <row r="61" spans="20:23" x14ac:dyDescent="0.35">
      <c r="T61" s="54">
        <v>70</v>
      </c>
      <c r="U61" s="54">
        <v>0.33</v>
      </c>
      <c r="V61" s="54">
        <v>3</v>
      </c>
      <c r="W61" s="54">
        <v>473.39499999999998</v>
      </c>
    </row>
    <row r="62" spans="20:23" x14ac:dyDescent="0.35">
      <c r="T62" s="54">
        <v>75</v>
      </c>
      <c r="U62" s="54">
        <v>0.33</v>
      </c>
      <c r="V62" s="54">
        <v>3</v>
      </c>
      <c r="W62" s="54">
        <v>475</v>
      </c>
    </row>
    <row r="63" spans="20:23" x14ac:dyDescent="0.35">
      <c r="T63" s="54">
        <v>30</v>
      </c>
      <c r="U63" s="54">
        <v>0</v>
      </c>
      <c r="V63" s="54">
        <v>2</v>
      </c>
      <c r="W63" s="54">
        <v>499.42500000000001</v>
      </c>
    </row>
    <row r="64" spans="20:23" x14ac:dyDescent="0.35">
      <c r="T64" s="54">
        <v>35</v>
      </c>
      <c r="U64" s="54">
        <v>0</v>
      </c>
      <c r="V64" s="54">
        <v>2</v>
      </c>
      <c r="W64" s="54">
        <v>504.15</v>
      </c>
    </row>
    <row r="65" spans="20:23" x14ac:dyDescent="0.35">
      <c r="T65" s="54">
        <v>40</v>
      </c>
      <c r="U65" s="54">
        <v>0</v>
      </c>
      <c r="V65" s="54">
        <v>2</v>
      </c>
      <c r="W65" s="54">
        <v>508.86</v>
      </c>
    </row>
    <row r="66" spans="20:23" x14ac:dyDescent="0.35">
      <c r="T66" s="54">
        <v>45</v>
      </c>
      <c r="U66" s="54">
        <v>0</v>
      </c>
      <c r="V66" s="54">
        <v>2</v>
      </c>
      <c r="W66" s="54">
        <v>513.88</v>
      </c>
    </row>
    <row r="67" spans="20:23" x14ac:dyDescent="0.35">
      <c r="T67" s="54">
        <v>50</v>
      </c>
      <c r="U67" s="54">
        <v>0</v>
      </c>
      <c r="V67" s="54">
        <v>2</v>
      </c>
      <c r="W67" s="54">
        <v>519.05499999999995</v>
      </c>
    </row>
    <row r="68" spans="20:23" x14ac:dyDescent="0.35">
      <c r="T68" s="54">
        <v>55</v>
      </c>
      <c r="U68" s="54">
        <v>0</v>
      </c>
      <c r="V68" s="54">
        <v>2</v>
      </c>
      <c r="W68" s="54">
        <v>523.47</v>
      </c>
    </row>
    <row r="69" spans="20:23" x14ac:dyDescent="0.35">
      <c r="T69" s="54">
        <v>60</v>
      </c>
      <c r="U69" s="54">
        <v>0</v>
      </c>
      <c r="V69" s="54">
        <v>2</v>
      </c>
      <c r="W69" s="54">
        <v>526.70000000000005</v>
      </c>
    </row>
    <row r="70" spans="20:23" x14ac:dyDescent="0.35">
      <c r="T70" s="54">
        <v>65</v>
      </c>
      <c r="U70" s="54">
        <v>0</v>
      </c>
      <c r="V70" s="54">
        <v>2</v>
      </c>
      <c r="W70" s="54">
        <v>530.29999999999995</v>
      </c>
    </row>
    <row r="71" spans="20:23" x14ac:dyDescent="0.35">
      <c r="T71" s="54">
        <v>70</v>
      </c>
      <c r="U71" s="54">
        <v>0</v>
      </c>
      <c r="V71" s="54">
        <v>2</v>
      </c>
      <c r="W71" s="54">
        <v>531.59500000000003</v>
      </c>
    </row>
    <row r="72" spans="20:23" x14ac:dyDescent="0.35">
      <c r="T72" s="54">
        <v>75</v>
      </c>
      <c r="U72" s="54">
        <v>0</v>
      </c>
      <c r="V72" s="54">
        <v>2</v>
      </c>
      <c r="W72" s="54">
        <v>533.77</v>
      </c>
    </row>
    <row r="73" spans="20:23" x14ac:dyDescent="0.35">
      <c r="T73" s="54">
        <v>30</v>
      </c>
      <c r="U73" s="54">
        <v>0.54</v>
      </c>
      <c r="V73" s="54">
        <v>2</v>
      </c>
      <c r="W73" s="54">
        <v>505.34500000000003</v>
      </c>
    </row>
    <row r="74" spans="20:23" x14ac:dyDescent="0.35">
      <c r="T74" s="54">
        <v>35</v>
      </c>
      <c r="U74" s="54">
        <v>0.54</v>
      </c>
      <c r="V74" s="54">
        <v>2</v>
      </c>
      <c r="W74" s="54">
        <v>510.14499999999998</v>
      </c>
    </row>
    <row r="75" spans="20:23" x14ac:dyDescent="0.35">
      <c r="T75" s="54">
        <v>40</v>
      </c>
      <c r="U75" s="54">
        <v>0.54</v>
      </c>
      <c r="V75" s="54">
        <v>2</v>
      </c>
      <c r="W75" s="54">
        <v>514.70500000000004</v>
      </c>
    </row>
    <row r="76" spans="20:23" x14ac:dyDescent="0.35">
      <c r="T76" s="54">
        <v>45</v>
      </c>
      <c r="U76" s="54">
        <v>0.54</v>
      </c>
      <c r="V76" s="54">
        <v>2</v>
      </c>
      <c r="W76" s="54">
        <v>519.31999999999994</v>
      </c>
    </row>
    <row r="77" spans="20:23" x14ac:dyDescent="0.35">
      <c r="T77" s="54">
        <v>50</v>
      </c>
      <c r="U77" s="54">
        <v>0.54</v>
      </c>
      <c r="V77" s="54">
        <v>2</v>
      </c>
      <c r="W77" s="54">
        <v>521.75</v>
      </c>
    </row>
    <row r="78" spans="20:23" x14ac:dyDescent="0.35">
      <c r="T78" s="54">
        <v>55</v>
      </c>
      <c r="U78" s="54">
        <v>0.54</v>
      </c>
      <c r="V78" s="54">
        <v>2</v>
      </c>
      <c r="W78" s="54">
        <v>524.78500000000008</v>
      </c>
    </row>
    <row r="79" spans="20:23" x14ac:dyDescent="0.35">
      <c r="T79" s="54">
        <v>60</v>
      </c>
      <c r="U79" s="54">
        <v>0.54</v>
      </c>
      <c r="V79" s="54">
        <v>2</v>
      </c>
      <c r="W79" s="54">
        <v>524.43000000000006</v>
      </c>
    </row>
    <row r="80" spans="20:23" x14ac:dyDescent="0.35">
      <c r="T80" s="54">
        <v>65</v>
      </c>
      <c r="U80" s="54">
        <v>0.54</v>
      </c>
      <c r="V80" s="54">
        <v>2</v>
      </c>
      <c r="W80" s="54">
        <v>526.43499999999995</v>
      </c>
    </row>
    <row r="81" spans="20:23" x14ac:dyDescent="0.35">
      <c r="T81" s="54">
        <v>70</v>
      </c>
      <c r="U81" s="54">
        <v>0.54</v>
      </c>
      <c r="V81" s="54">
        <v>2</v>
      </c>
      <c r="W81" s="54">
        <v>526.76499999999999</v>
      </c>
    </row>
    <row r="82" spans="20:23" x14ac:dyDescent="0.35">
      <c r="T82" s="54">
        <v>75</v>
      </c>
      <c r="U82" s="54">
        <v>0.54</v>
      </c>
      <c r="V82" s="54">
        <v>2</v>
      </c>
      <c r="W82" s="54">
        <v>527.15000000000009</v>
      </c>
    </row>
    <row r="83" spans="20:23" x14ac:dyDescent="0.35">
      <c r="T83" s="54">
        <v>30</v>
      </c>
      <c r="U83" s="54">
        <v>0.36</v>
      </c>
      <c r="V83" s="54">
        <v>2</v>
      </c>
      <c r="W83" s="54">
        <v>501.02</v>
      </c>
    </row>
    <row r="84" spans="20:23" x14ac:dyDescent="0.35">
      <c r="T84" s="54">
        <v>35</v>
      </c>
      <c r="U84" s="54">
        <v>0.36</v>
      </c>
      <c r="V84" s="54">
        <v>2</v>
      </c>
      <c r="W84" s="54">
        <v>506.28499999999997</v>
      </c>
    </row>
    <row r="85" spans="20:23" x14ac:dyDescent="0.35">
      <c r="T85" s="54">
        <v>40</v>
      </c>
      <c r="U85" s="54">
        <v>0.36</v>
      </c>
      <c r="V85" s="54">
        <v>2</v>
      </c>
      <c r="W85" s="54">
        <v>460.58500000000004</v>
      </c>
    </row>
    <row r="86" spans="20:23" x14ac:dyDescent="0.35">
      <c r="T86" s="54">
        <v>45</v>
      </c>
      <c r="U86" s="54">
        <v>0.36</v>
      </c>
      <c r="V86" s="54">
        <v>2</v>
      </c>
      <c r="W86" s="54">
        <v>514.79</v>
      </c>
    </row>
    <row r="87" spans="20:23" x14ac:dyDescent="0.35">
      <c r="T87" s="54">
        <v>50</v>
      </c>
      <c r="U87" s="54">
        <v>0.36</v>
      </c>
      <c r="V87" s="54">
        <v>2</v>
      </c>
      <c r="W87" s="54">
        <v>517.40499999999997</v>
      </c>
    </row>
    <row r="88" spans="20:23" x14ac:dyDescent="0.35">
      <c r="T88" s="54">
        <v>55</v>
      </c>
      <c r="U88" s="54">
        <v>0.36</v>
      </c>
      <c r="V88" s="54">
        <v>2</v>
      </c>
      <c r="W88" s="54">
        <v>520.76</v>
      </c>
    </row>
    <row r="89" spans="20:23" x14ac:dyDescent="0.35">
      <c r="T89" s="54">
        <v>60</v>
      </c>
      <c r="U89" s="54">
        <v>0.36</v>
      </c>
      <c r="V89" s="54">
        <v>2</v>
      </c>
      <c r="W89" s="54">
        <v>522.54999999999995</v>
      </c>
    </row>
    <row r="90" spans="20:23" x14ac:dyDescent="0.35">
      <c r="T90" s="54">
        <v>65</v>
      </c>
      <c r="U90" s="54">
        <v>0.36</v>
      </c>
      <c r="V90" s="54">
        <v>2</v>
      </c>
      <c r="W90" s="54">
        <v>525.47499999999991</v>
      </c>
    </row>
    <row r="91" spans="20:23" x14ac:dyDescent="0.35">
      <c r="T91" s="54">
        <v>70</v>
      </c>
      <c r="U91" s="54">
        <v>0.36</v>
      </c>
      <c r="V91" s="54">
        <v>2</v>
      </c>
      <c r="W91" s="54">
        <v>526.29</v>
      </c>
    </row>
    <row r="92" spans="20:23" x14ac:dyDescent="0.35">
      <c r="T92" s="54">
        <v>75</v>
      </c>
      <c r="U92" s="54">
        <v>0.36</v>
      </c>
      <c r="V92" s="54">
        <v>2</v>
      </c>
      <c r="W92" s="54">
        <v>527.07500000000005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ThermoProperties MEA</vt:lpstr>
      <vt:lpstr>Thermophysical EMEA</vt:lpstr>
      <vt:lpstr>ThermoProperties EMEA 1</vt:lpstr>
      <vt:lpstr>MEA </vt:lpstr>
      <vt:lpstr>EMEA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Millicent Agbemabiawo</dc:creator>
  <cp:lastModifiedBy>Kambiz Osgouie (EXT-Nokia)</cp:lastModifiedBy>
  <dcterms:created xsi:type="dcterms:W3CDTF">2026-02-05T01:01:25Z</dcterms:created>
  <dcterms:modified xsi:type="dcterms:W3CDTF">2026-02-18T01:37:54Z</dcterms:modified>
</cp:coreProperties>
</file>